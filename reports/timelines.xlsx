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s" sheetId="1" state="visible" r:id="rId3"/>
    <sheet name="Events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<sst xmlns="http://schemas.openxmlformats.org/spreadsheetml/2006/main" count="295" uniqueCount="151">
  <si>
    <t xml:space="preserve">Run ID</t>
  </si>
  <si>
    <t xml:space="preserve">Scenario</t>
  </si>
  <si>
    <t xml:space="preserve">Lambdas</t>
  </si>
  <si>
    <t xml:space="preserve">Start (UTC)</t>
  </si>
  <si>
    <t xml:space="preserve">Attacker IP</t>
  </si>
  <si>
    <t xml:space="preserve">T0 first misconfig / malicious action (UTC)</t>
  </si>
  <si>
    <t xml:space="preserve">First Wazuh alert (UTC)</t>
  </si>
  <si>
    <t xml:space="preserve">First rule ID</t>
  </si>
  <si>
    <t xml:space="preserve">Contained (UTC)</t>
  </si>
  <si>
    <t xml:space="preserve">Contained by</t>
  </si>
  <si>
    <t xml:space="preserve">Time to detect (min)</t>
  </si>
  <si>
    <t xml:space="preserve">Time to contain (s)</t>
  </si>
  <si>
    <t xml:space="preserve">Detect→contain (min)</t>
  </si>
  <si>
    <t xml:space="preserve">Evidence folder</t>
  </si>
  <si>
    <t xml:space="preserve">Hashed (Y/N)</t>
  </si>
  <si>
    <t xml:space="preserve">Notes</t>
  </si>
  <si>
    <t xml:space="preserve">INC-20261024-S3a</t>
  </si>
  <si>
    <t xml:space="preserve">S3</t>
  </si>
  <si>
    <t xml:space="preserve">off</t>
  </si>
  <si>
    <t xml:space="preserve">attacker (mobile IP)</t>
  </si>
  <si>
    <t xml:space="preserve">5710</t>
  </si>
  <si>
    <t xml:space="preserve">manual</t>
  </si>
  <si>
    <t xml:space="preserve">evidence/raw/INC-20261024-S3a</t>
  </si>
  <si>
    <t xml:space="preserve">Y</t>
  </si>
  <si>
    <t xml:space="preserve">Hydra aborted (key-only SSH). 50-user ssh loop: 41 x 5710 + 5712 at 15:50:27. CloudTrail path: 100121 at 15:49:39 (+4 min 46 s). First loop leaked via home IP (route) and was discarded.</t>
  </si>
  <si>
    <t xml:space="preserve">INC-20261024-S3b</t>
  </si>
  <si>
    <t xml:space="preserve">on</t>
  </si>
  <si>
    <t xml:space="preserve">100121</t>
  </si>
  <si>
    <t xml:space="preserve">L2</t>
  </si>
  <si>
    <t xml:space="preserve">evidence/raw/INC-20261024-S3b</t>
  </si>
  <si>
    <t xml:space="preserve">L2 seconds_from_change_to_fix=5.3. Kali: connection timed out from first attempt (15:58:18). Detect-&gt;contain negative: fixed before the SIEM saw it.</t>
  </si>
  <si>
    <t xml:space="preserve">INC-20261024-S1a</t>
  </si>
  <si>
    <t xml:space="preserve">S1</t>
  </si>
  <si>
    <t xml:space="preserve">100101</t>
  </si>
  <si>
    <t xml:space="preserve">evidence/raw/INC-20261024-S1a</t>
  </si>
  <si>
    <t xml:space="preserve">Anonymous GetObject clients-s3.csv 16:08:14 (200) -&gt; 100103 at 16:11:48 (+3 min 34 s). KMS copy 400 -&gt; 100104. Prowler #2 during exposure: 57.14%.</t>
  </si>
  <si>
    <t xml:space="preserve">INC-20261024-S1b-1</t>
  </si>
  <si>
    <t xml:space="preserve">100103</t>
  </si>
  <si>
    <t xml:space="preserve">none</t>
  </si>
  <si>
    <t xml:space="preserve">evidence/raw/INC-20261024-S1b</t>
  </si>
  <si>
    <t xml:space="preserve">AUTOMATION MISSED: rules enabled (PutRule) 16:18:19, change 16:18:59 (40 s) -&gt; no EventBridge match. ~20 anonymous reads 16:19:05-34. SIEM detected (100103). Contained by S1b-2 retry.</t>
  </si>
  <si>
    <t xml:space="preserve">INC-20261024-S1b-2</t>
  </si>
  <si>
    <t xml:space="preserve">L1</t>
  </si>
  <si>
    <t xml:space="preserve">L1 seconds_from_change_to_fix=9.9. Kali: last 200 at 16:25:23, first 403 at 16:25:24. 15 x 100104 for blocked reads.</t>
  </si>
  <si>
    <t xml:space="preserve">INC-20261024-S2</t>
  </si>
  <si>
    <t xml:space="preserve">S2</t>
  </si>
  <si>
    <t xml:space="preserve">100110</t>
  </si>
  <si>
    <t xml:space="preserve">evidence/raw/INC-20261024-S2</t>
  </si>
  <si>
    <t xml:space="preserve">Leaked AKIA…UMR (leaked). Persistence key AKIA…XGS (persistence) (16:32:34) -&gt; 100113 lvl 14 at 16:36:13. Data accessed: clients-s3.csv; KMS copy AccessDenied. AWSDenyAll 16:37:55, keys deactivated then deleted.</t>
  </si>
  <si>
    <t xml:space="preserve">INC-20261024-MIMDS</t>
  </si>
  <si>
    <t xml:space="preserve">M-IMDS</t>
  </si>
  <si>
    <t xml:space="preserve">n/a (admin)</t>
  </si>
  <si>
    <t xml:space="preserve">100132</t>
  </si>
  <si>
    <t xml:space="preserve">L3</t>
  </si>
  <si>
    <t xml:space="preserve">evidence/raw/INC-20261024-MIMDS</t>
  </si>
  <si>
    <t xml:space="preserve">L3 seconds_from_change_to_fix=6.4.</t>
  </si>
  <si>
    <t xml:space="preserve">UTC time</t>
  </si>
  <si>
    <t xml:space="preserve">Source</t>
  </si>
  <si>
    <t xml:space="preserve">Event</t>
  </si>
  <si>
    <t xml:space="preserve">Actor / IP</t>
  </si>
  <si>
    <t xml:space="preserve">Rule ID</t>
  </si>
  <si>
    <t xml:space="preserve">Action taken</t>
  </si>
  <si>
    <t xml:space="preserve">CloudTrail</t>
  </si>
  <si>
    <t xml:space="preserve">AuthorizeSecurityGroupIngress tcp/22 0.0.0.0/0</t>
  </si>
  <si>
    <t xml:space="preserve">admin / home IP (known)</t>
  </si>
  <si>
    <t xml:space="preserve">misconfiguration (T0)</t>
  </si>
  <si>
    <t xml:space="preserve">Attacker</t>
  </si>
  <si>
    <t xml:space="preserve">Hydra 200 tries -&gt; aborted: no password auth</t>
  </si>
  <si>
    <t xml:space="preserve">Kali attacker (mobile IP)</t>
  </si>
  <si>
    <t xml:space="preserve">ssh loop 50 non-existent users</t>
  </si>
  <si>
    <t xml:space="preserve">Wazuh</t>
  </si>
  <si>
    <t xml:space="preserve">SSH opened to the internet</t>
  </si>
  <si>
    <t xml:space="preserve">admin</t>
  </si>
  <si>
    <t xml:space="preserve">detected (CloudTrail path)</t>
  </si>
  <si>
    <t xml:space="preserve">sshd brute force, non-existent users</t>
  </si>
  <si>
    <t xml:space="preserve">5712</t>
  </si>
  <si>
    <t xml:space="preserve">detected (agent)</t>
  </si>
  <si>
    <t xml:space="preserve">Responder</t>
  </si>
  <si>
    <t xml:space="preserve">RevokeSecurityGroupIngress via terraform</t>
  </si>
  <si>
    <t xml:space="preserve">contained</t>
  </si>
  <si>
    <t xml:space="preserve">SNS / L2</t>
  </si>
  <si>
    <t xml:space="preserve">revoked 1 internet-open rule, 5.3 s</t>
  </si>
  <si>
    <t xml:space="preserve">seclab-l2-sg-revoke</t>
  </si>
  <si>
    <t xml:space="preserve">ssh -&gt; connection timed out</t>
  </si>
  <si>
    <t xml:space="preserve">detected after containment</t>
  </si>
  <si>
    <t xml:space="preserve">PutBucketPublicAccessBlock (all false) + public policy</t>
  </si>
  <si>
    <t xml:space="preserve">anonymous GetObject clients-s3.csv -&gt; 200</t>
  </si>
  <si>
    <t xml:space="preserve">data exfiltrated</t>
  </si>
  <si>
    <t xml:space="preserve">anonymous GetObject clients-kms.csv -&gt; 400</t>
  </si>
  <si>
    <t xml:space="preserve">blocked by SSE-KMS</t>
  </si>
  <si>
    <t xml:space="preserve">BPA disabled / public policy</t>
  </si>
  <si>
    <t xml:space="preserve">100101 / 100102</t>
  </si>
  <si>
    <t xml:space="preserve">detected</t>
  </si>
  <si>
    <t xml:space="preserve">anonymous read / denied read</t>
  </si>
  <si>
    <t xml:space="preserve">100103 / 100104</t>
  </si>
  <si>
    <t xml:space="preserve">BPA re-enabled + policy reverted via terraform</t>
  </si>
  <si>
    <t xml:space="preserve">PutRule x3 (rules enabled)</t>
  </si>
  <si>
    <t xml:space="preserve">PutBucketPublicAccessBlock (all false)</t>
  </si>
  <si>
    <t xml:space="preserve">misconfiguration (T0); L1 not triggered</t>
  </si>
  <si>
    <t xml:space="preserve">20 anonymous reads (200) until 16:19:34</t>
  </si>
  <si>
    <t xml:space="preserve">anonymous read</t>
  </si>
  <si>
    <t xml:space="preserve">detected without automation</t>
  </si>
  <si>
    <t xml:space="preserve">PutBucketPublicAccessBlock (all false) retry</t>
  </si>
  <si>
    <t xml:space="preserve">T0</t>
  </si>
  <si>
    <t xml:space="preserve">SNS / L1</t>
  </si>
  <si>
    <t xml:space="preserve">BPA re-enabled, 9.9 s</t>
  </si>
  <si>
    <t xml:space="preserve">seclab-l1-s3-reblock</t>
  </si>
  <si>
    <t xml:space="preserve">anonymous read -&gt; 403</t>
  </si>
  <si>
    <t xml:space="preserve">s2_plant_leak.ps1 creates AKIA…UMR (leaked)</t>
  </si>
  <si>
    <t xml:space="preserve">100111</t>
  </si>
  <si>
    <t xml:space="preserve">leak planted</t>
  </si>
  <si>
    <t xml:space="preserve">TruffleHog finds + verifies key (STS)</t>
  </si>
  <si>
    <t xml:space="preserve">T0 first malicious call</t>
  </si>
  <si>
    <t xml:space="preserve">get-caller-identity, s3 ls, GetObject clients-s3.csv</t>
  </si>
  <si>
    <t xml:space="preserve">GetObject clients-kms.csv -&gt; AccessDenied (kms:Decrypt)</t>
  </si>
  <si>
    <t xml:space="preserve">CreateAccessKey AKIA…XGS (persistence)</t>
  </si>
  <si>
    <t xml:space="preserve">persistence</t>
  </si>
  <si>
    <t xml:space="preserve">dev-ci key from unknown IP</t>
  </si>
  <si>
    <t xml:space="preserve">detected, incident opened</t>
  </si>
  <si>
    <t xml:space="preserve">leaked key created a new key</t>
  </si>
  <si>
    <t xml:space="preserve">100113</t>
  </si>
  <si>
    <t xml:space="preserve">persistence detected</t>
  </si>
  <si>
    <t xml:space="preserve">AWSDenyAll attached to dev-ci</t>
  </si>
  <si>
    <t xml:space="preserve">both keys deactivated; us-east-1 hunt clean</t>
  </si>
  <si>
    <t xml:space="preserve">sts -&gt; InvalidClientTokenId</t>
  </si>
  <si>
    <t xml:space="preserve">containment verified</t>
  </si>
  <si>
    <t xml:space="preserve">evidence hashed; keys deleted; leak removed; deny detached</t>
  </si>
  <si>
    <t xml:space="preserve">eradicated / recovered</t>
  </si>
  <si>
    <t xml:space="preserve">ModifyInstanceMetadataOptions http_tokens=optional</t>
  </si>
  <si>
    <t xml:space="preserve">SNS / L3</t>
  </si>
  <si>
    <t xml:space="preserve">IMDSv2 enforced, 6.4 s</t>
  </si>
  <si>
    <t xml:space="preserve">seclab-l3-imds-enforce</t>
  </si>
  <si>
    <t xml:space="preserve">IMDSv1 re-enabled</t>
  </si>
  <si>
    <t xml:space="preserve">How to use</t>
  </si>
  <si>
    <t xml:space="preserve">Yellow cells</t>
  </si>
  <si>
    <t xml:space="preserve">Fill these in during / after each run. Values from the 2026-10-24 Phase 4 session (Start = approximate; T0/alerts/contained from CloudTrail, Wazuh and SNS).</t>
  </si>
  <si>
    <t xml:space="preserve">Formula columns (Runs K–M)</t>
  </si>
  <si>
    <t xml:space="preserve">Computed automatically; don't type in them.</t>
  </si>
  <si>
    <t xml:space="preserve">INC-&lt;yyyymmdd&gt;-S&lt;n&gt;[a|b]: a = Lambdas off (measure detection), b = Lambdas on (measure containment). Same ID as the evidence folder.</t>
  </si>
  <si>
    <t xml:space="preserve">Times</t>
  </si>
  <si>
    <t xml:space="preserve">All UTC, typed as yyyy-mm-dd hh:mm:ss. Sources: CloudTrail eventTime, Wazuh alert timestamp, SNS email body, your own notes.</t>
  </si>
  <si>
    <t xml:space="preserve">S1/S3/M-IMDS: eventTime of the misconfiguring API call. S2: eventTime of the first call made with the leaked key from Kali.</t>
  </si>
  <si>
    <t xml:space="preserve">Time to detect</t>
  </si>
  <si>
    <t xml:space="preserve">First Wazuh alert − T0 (minutes).</t>
  </si>
  <si>
    <t xml:space="preserve">Time to contain</t>
  </si>
  <si>
    <t xml:space="preserve">Contained − T0 (seconds). Lambda runs: cross-check with seconds_from_change_to_fix in the SNS email. Manual (S2): time AWSDenyAll was attached.</t>
  </si>
  <si>
    <t xml:space="preserve">Detect→contain</t>
  </si>
  <si>
    <t xml:space="preserve">Contained − first alert (minutes). Negative = automation fixed it before Wazuh saw it (normal for Lambda runs).</t>
  </si>
  <si>
    <t xml:space="preserve">Kali on the iPhone tether (eth1): curl -s https://checkip.amazonaws.com at run start; the mobile IP changes, so record it every run. Confirm with CloudTrail sourceIPAddress.</t>
  </si>
  <si>
    <t xml:space="preserve">Events sheet</t>
  </si>
  <si>
    <t xml:space="preserve">One line per meaningful event; this becomes the incident report timeline (ISO 27035 'detect and report' → 'respond').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</si>
</sst>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3" min="11" style="0" width="12"/>
    <col collapsed="false" customWidth="true" hidden="false" outlineLevel="0" max="14" min="14" style="0" width="28"/>
    <col collapsed="false" customWidth="true" hidden="false" outlineLevel="0" max="15" min="15" style="0" width="9"/>
    <col collapsed="false" customWidth="true" hidden="false" outlineLevel="0" max="16" min="16" style="0" width="45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64.9" hidden="false" customHeight="false" outlineLevel="0" collapsed="false">
      <c r="A2" s="2" t="s">
        <v>16</v>
      </c>
      <c r="B2" s="2" t="s">
        <v>17</v>
      </c>
      <c r="C2" s="2" t="s">
        <v>18</v>
      </c>
      <c r="D2" s="3" t="n">
        <v>46319.6555555556</v>
      </c>
      <c r="E2" s="2" t="s">
        <v>19</v>
      </c>
      <c r="F2" s="3" t="n">
        <v>46319.6561689815</v>
      </c>
      <c r="G2" s="3" t="n">
        <v>46319.6576736111</v>
      </c>
      <c r="H2" s="2" t="s">
        <v>20</v>
      </c>
      <c r="I2" s="3" t="n">
        <v>46319.6616898148</v>
      </c>
      <c r="J2" s="2" t="s">
        <v>21</v>
      </c>
      <c r="K2" s="4" t="n">
        <f aca="false">IF(AND(F2&lt;&gt;"",G2&lt;&gt;""),ROUND((G2-F2)*1440,1),"")</f>
        <v>2.2</v>
      </c>
      <c r="L2" s="4" t="n">
        <f aca="false">IF(AND(F2&lt;&gt;"",I2&lt;&gt;""),ROUND((I2-F2)*86400,1),"")</f>
        <v>477</v>
      </c>
      <c r="M2" s="4" t="n">
        <f aca="false">IF(AND(G2&lt;&gt;"",I2&lt;&gt;""),ROUND((I2-G2)*1440,1),"")</f>
        <v>5.8</v>
      </c>
      <c r="N2" s="2" t="s">
        <v>22</v>
      </c>
      <c r="O2" s="2" t="s">
        <v>23</v>
      </c>
      <c r="P2" s="5" t="s">
        <v>24</v>
      </c>
    </row>
    <row r="3" customFormat="false" ht="52.2" hidden="false" customHeight="false" outlineLevel="0" collapsed="false">
      <c r="A3" s="2" t="s">
        <v>25</v>
      </c>
      <c r="B3" s="2" t="s">
        <v>17</v>
      </c>
      <c r="C3" s="2" t="s">
        <v>26</v>
      </c>
      <c r="D3" s="3" t="n">
        <v>46319.6638888889</v>
      </c>
      <c r="E3" s="2" t="s">
        <v>19</v>
      </c>
      <c r="F3" s="3" t="n">
        <v>46319.6649884259</v>
      </c>
      <c r="G3" s="3" t="n">
        <v>46319.6668055556</v>
      </c>
      <c r="H3" s="2" t="s">
        <v>27</v>
      </c>
      <c r="I3" s="3" t="n">
        <v>46319.6650462963</v>
      </c>
      <c r="J3" s="2" t="s">
        <v>28</v>
      </c>
      <c r="K3" s="4" t="n">
        <f aca="false">IF(AND(F3&lt;&gt;"",G3&lt;&gt;""),ROUND((G3-F3)*1440,1),"")</f>
        <v>2.6</v>
      </c>
      <c r="L3" s="4" t="n">
        <f aca="false">IF(AND(F3&lt;&gt;"",I3&lt;&gt;""),ROUND((I3-F3)*86400,1),"")</f>
        <v>5</v>
      </c>
      <c r="M3" s="4" t="n">
        <f aca="false">IF(AND(G3&lt;&gt;"",I3&lt;&gt;""),ROUND((I3-G3)*1440,1),"")</f>
        <v>-2.5</v>
      </c>
      <c r="N3" s="2" t="s">
        <v>29</v>
      </c>
      <c r="O3" s="2" t="s">
        <v>23</v>
      </c>
      <c r="P3" s="5" t="s">
        <v>30</v>
      </c>
    </row>
    <row r="4" customFormat="false" ht="52.2" hidden="false" customHeight="false" outlineLevel="0" collapsed="false">
      <c r="A4" s="2" t="s">
        <v>31</v>
      </c>
      <c r="B4" s="2" t="s">
        <v>32</v>
      </c>
      <c r="C4" s="2" t="s">
        <v>18</v>
      </c>
      <c r="D4" s="3" t="n">
        <v>46319.6714699074</v>
      </c>
      <c r="E4" s="2" t="s">
        <v>19</v>
      </c>
      <c r="F4" s="3" t="n">
        <v>46319.6718981482</v>
      </c>
      <c r="G4" s="3" t="n">
        <v>46319.6741203704</v>
      </c>
      <c r="H4" s="2" t="s">
        <v>33</v>
      </c>
      <c r="I4" s="3" t="n">
        <v>46319.6773958333</v>
      </c>
      <c r="J4" s="2" t="s">
        <v>21</v>
      </c>
      <c r="K4" s="4" t="n">
        <f aca="false">IF(AND(F4&lt;&gt;"",G4&lt;&gt;""),ROUND((G4-F4)*1440,1),"")</f>
        <v>3.2</v>
      </c>
      <c r="L4" s="4" t="n">
        <f aca="false">IF(AND(F4&lt;&gt;"",I4&lt;&gt;""),ROUND((I4-F4)*86400,1),"")</f>
        <v>475</v>
      </c>
      <c r="M4" s="4" t="n">
        <f aca="false">IF(AND(G4&lt;&gt;"",I4&lt;&gt;""),ROUND((I4-G4)*1440,1),"")</f>
        <v>4.7</v>
      </c>
      <c r="N4" s="2" t="s">
        <v>34</v>
      </c>
      <c r="O4" s="2" t="s">
        <v>23</v>
      </c>
      <c r="P4" s="5" t="s">
        <v>35</v>
      </c>
    </row>
    <row r="5" customFormat="false" ht="64.9" hidden="false" customHeight="false" outlineLevel="0" collapsed="false">
      <c r="A5" s="2" t="s">
        <v>36</v>
      </c>
      <c r="B5" s="2" t="s">
        <v>32</v>
      </c>
      <c r="C5" s="2" t="s">
        <v>26</v>
      </c>
      <c r="D5" s="3" t="n">
        <v>46319.6793865741</v>
      </c>
      <c r="E5" s="2" t="s">
        <v>19</v>
      </c>
      <c r="F5" s="3" t="n">
        <v>46319.679849537</v>
      </c>
      <c r="G5" s="3" t="n">
        <v>46319.6807407407</v>
      </c>
      <c r="H5" s="2" t="s">
        <v>37</v>
      </c>
      <c r="I5" s="3" t="n">
        <v>46319.6843043982</v>
      </c>
      <c r="J5" s="2" t="s">
        <v>38</v>
      </c>
      <c r="K5" s="4" t="n">
        <f aca="false">IF(AND(F5&lt;&gt;"",G5&lt;&gt;""),ROUND((G5-F5)*1440,1),"")</f>
        <v>1.3</v>
      </c>
      <c r="L5" s="4" t="n">
        <f aca="false">IF(AND(F5&lt;&gt;"",I5&lt;&gt;""),ROUND((I5-F5)*86400,1),"")</f>
        <v>384.9</v>
      </c>
      <c r="M5" s="4" t="n">
        <f aca="false">IF(AND(G5&lt;&gt;"",I5&lt;&gt;""),ROUND((I5-G5)*1440,1),"")</f>
        <v>5.1</v>
      </c>
      <c r="N5" s="2" t="s">
        <v>39</v>
      </c>
      <c r="O5" s="2" t="s">
        <v>23</v>
      </c>
      <c r="P5" s="5" t="s">
        <v>40</v>
      </c>
    </row>
    <row r="6" customFormat="false" ht="39.55" hidden="false" customHeight="false" outlineLevel="0" collapsed="false">
      <c r="A6" s="2" t="s">
        <v>41</v>
      </c>
      <c r="B6" s="2" t="s">
        <v>32</v>
      </c>
      <c r="C6" s="2" t="s">
        <v>26</v>
      </c>
      <c r="D6" s="3" t="n">
        <v>46319.6840277778</v>
      </c>
      <c r="E6" s="2" t="s">
        <v>19</v>
      </c>
      <c r="F6" s="3" t="n">
        <v>46319.6841898148</v>
      </c>
      <c r="G6" s="3" t="n">
        <v>46319.6852199074</v>
      </c>
      <c r="H6" s="2" t="s">
        <v>37</v>
      </c>
      <c r="I6" s="3" t="n">
        <v>46319.6843043982</v>
      </c>
      <c r="J6" s="2" t="s">
        <v>42</v>
      </c>
      <c r="K6" s="4" t="n">
        <f aca="false">IF(AND(F6&lt;&gt;"",G6&lt;&gt;""),ROUND((G6-F6)*1440,1),"")</f>
        <v>1.5</v>
      </c>
      <c r="L6" s="4" t="n">
        <f aca="false">IF(AND(F6&lt;&gt;"",I6&lt;&gt;""),ROUND((I6-F6)*86400,1),"")</f>
        <v>9.9</v>
      </c>
      <c r="M6" s="4" t="n">
        <f aca="false">IF(AND(G6&lt;&gt;"",I6&lt;&gt;""),ROUND((I6-G6)*1440,1),"")</f>
        <v>-1.3</v>
      </c>
      <c r="N6" s="2" t="s">
        <v>39</v>
      </c>
      <c r="O6" s="2" t="s">
        <v>23</v>
      </c>
      <c r="P6" s="5" t="s">
        <v>43</v>
      </c>
    </row>
    <row r="7" customFormat="false" ht="64.9" hidden="false" customHeight="false" outlineLevel="0" collapsed="false">
      <c r="A7" s="2" t="s">
        <v>44</v>
      </c>
      <c r="B7" s="2" t="s">
        <v>45</v>
      </c>
      <c r="C7" s="2" t="s">
        <v>26</v>
      </c>
      <c r="D7" s="3" t="n">
        <v>46319.6871643519</v>
      </c>
      <c r="E7" s="2" t="s">
        <v>19</v>
      </c>
      <c r="F7" s="3" t="n">
        <v>46319.6885648148</v>
      </c>
      <c r="G7" s="3" t="n">
        <v>46319.6911226852</v>
      </c>
      <c r="H7" s="2" t="s">
        <v>46</v>
      </c>
      <c r="I7" s="3" t="n">
        <v>46319.6929976852</v>
      </c>
      <c r="J7" s="2" t="s">
        <v>21</v>
      </c>
      <c r="K7" s="4" t="n">
        <f aca="false">IF(AND(F7&lt;&gt;"",G7&lt;&gt;""),ROUND((G7-F7)*1440,1),"")</f>
        <v>3.7</v>
      </c>
      <c r="L7" s="4" t="n">
        <f aca="false">IF(AND(F7&lt;&gt;"",I7&lt;&gt;""),ROUND((I7-F7)*86400,1),"")</f>
        <v>383</v>
      </c>
      <c r="M7" s="4" t="n">
        <f aca="false">IF(AND(G7&lt;&gt;"",I7&lt;&gt;""),ROUND((I7-G7)*1440,1),"")</f>
        <v>2.7</v>
      </c>
      <c r="N7" s="2" t="s">
        <v>47</v>
      </c>
      <c r="O7" s="2" t="s">
        <v>23</v>
      </c>
      <c r="P7" s="5" t="s">
        <v>48</v>
      </c>
    </row>
    <row r="8" customFormat="false" ht="15" hidden="false" customHeight="false" outlineLevel="0" collapsed="false">
      <c r="A8" s="2" t="s">
        <v>49</v>
      </c>
      <c r="B8" s="2" t="s">
        <v>50</v>
      </c>
      <c r="C8" s="2" t="s">
        <v>26</v>
      </c>
      <c r="D8" s="3" t="n">
        <v>46319.6965277778</v>
      </c>
      <c r="E8" s="2" t="s">
        <v>51</v>
      </c>
      <c r="F8" s="3" t="n">
        <v>46319.6968287037</v>
      </c>
      <c r="G8" s="3" t="n">
        <v>46319.6977893519</v>
      </c>
      <c r="H8" s="2" t="s">
        <v>52</v>
      </c>
      <c r="I8" s="3" t="n">
        <v>46319.6969027778</v>
      </c>
      <c r="J8" s="2" t="s">
        <v>53</v>
      </c>
      <c r="K8" s="4" t="n">
        <f aca="false">IF(AND(F8&lt;&gt;"",G8&lt;&gt;""),ROUND((G8-F8)*1440,1),"")</f>
        <v>1.4</v>
      </c>
      <c r="L8" s="4" t="n">
        <f aca="false">IF(AND(F8&lt;&gt;"",I8&lt;&gt;""),ROUND((I8-F8)*86400,1),"")</f>
        <v>6.4</v>
      </c>
      <c r="M8" s="4" t="n">
        <f aca="false">IF(AND(G8&lt;&gt;"",I8&lt;&gt;""),ROUND((I8-G8)*1440,1),"")</f>
        <v>-1.3</v>
      </c>
      <c r="N8" s="2" t="s">
        <v>54</v>
      </c>
      <c r="O8" s="2" t="s">
        <v>23</v>
      </c>
      <c r="P8" s="5" t="s">
        <v>55</v>
      </c>
    </row>
  </sheetData>
  <dataValidations count="2">
    <dataValidation allowBlank="false" errorStyle="stop" operator="between" showDropDown="false" showErrorMessage="false" showInputMessage="false" sqref="C2:C50" type="list">
      <formula1>"on,off"</formula1>
      <formula2>0</formula2>
    </dataValidation>
    <dataValidation allowBlank="false" errorStyle="stop" operator="between" showDropDown="false" showErrorMessage="false" showInputMessage="false" sqref="J2:J50" type="list">
      <formula1>"L1,L2,L3,manual,none"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6" t="s">
        <v>0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</row>
    <row r="2" customFormat="false" ht="15" hidden="false" customHeight="false" outlineLevel="0" collapsed="false">
      <c r="A2" s="2" t="s">
        <v>16</v>
      </c>
      <c r="B2" s="3" t="n">
        <v>46319.6561689815</v>
      </c>
      <c r="C2" s="2" t="s">
        <v>62</v>
      </c>
      <c r="D2" s="2" t="s">
        <v>63</v>
      </c>
      <c r="E2" s="2" t="s">
        <v>64</v>
      </c>
      <c r="F2" s="2"/>
      <c r="G2" s="2" t="s">
        <v>65</v>
      </c>
    </row>
    <row r="3" customFormat="false" ht="15" hidden="false" customHeight="false" outlineLevel="0" collapsed="false">
      <c r="A3" s="2" t="s">
        <v>16</v>
      </c>
      <c r="B3" s="3" t="n">
        <v>46319.6564236111</v>
      </c>
      <c r="C3" s="2" t="s">
        <v>66</v>
      </c>
      <c r="D3" s="2" t="s">
        <v>67</v>
      </c>
      <c r="E3" s="2" t="s">
        <v>68</v>
      </c>
      <c r="F3" s="2"/>
      <c r="G3" s="2"/>
    </row>
    <row r="4" customFormat="false" ht="15" hidden="false" customHeight="false" outlineLevel="0" collapsed="false">
      <c r="A4" s="2" t="s">
        <v>16</v>
      </c>
      <c r="B4" s="3" t="n">
        <v>46319.6597222222</v>
      </c>
      <c r="C4" s="2" t="s">
        <v>66</v>
      </c>
      <c r="D4" s="2" t="s">
        <v>69</v>
      </c>
      <c r="E4" s="2" t="s">
        <v>68</v>
      </c>
      <c r="F4" s="2"/>
      <c r="G4" s="2"/>
    </row>
    <row r="5" customFormat="false" ht="15" hidden="false" customHeight="false" outlineLevel="0" collapsed="false">
      <c r="A5" s="2" t="s">
        <v>16</v>
      </c>
      <c r="B5" s="3" t="n">
        <v>46319.6594791667</v>
      </c>
      <c r="C5" s="2" t="s">
        <v>70</v>
      </c>
      <c r="D5" s="2" t="s">
        <v>71</v>
      </c>
      <c r="E5" s="2" t="s">
        <v>72</v>
      </c>
      <c r="F5" s="2" t="s">
        <v>27</v>
      </c>
      <c r="G5" s="2" t="s">
        <v>73</v>
      </c>
    </row>
    <row r="6" customFormat="false" ht="15" hidden="false" customHeight="false" outlineLevel="0" collapsed="false">
      <c r="A6" s="2" t="s">
        <v>16</v>
      </c>
      <c r="B6" s="3" t="n">
        <v>46319.6600347222</v>
      </c>
      <c r="C6" s="2" t="s">
        <v>70</v>
      </c>
      <c r="D6" s="2" t="s">
        <v>74</v>
      </c>
      <c r="E6" s="2" t="s">
        <v>19</v>
      </c>
      <c r="F6" s="2" t="s">
        <v>75</v>
      </c>
      <c r="G6" s="2" t="s">
        <v>76</v>
      </c>
    </row>
    <row r="7" customFormat="false" ht="15" hidden="false" customHeight="false" outlineLevel="0" collapsed="false">
      <c r="A7" s="2" t="s">
        <v>16</v>
      </c>
      <c r="B7" s="3" t="n">
        <v>46319.6616898148</v>
      </c>
      <c r="C7" s="2" t="s">
        <v>77</v>
      </c>
      <c r="D7" s="2" t="s">
        <v>78</v>
      </c>
      <c r="E7" s="2" t="s">
        <v>72</v>
      </c>
      <c r="F7" s="2"/>
      <c r="G7" s="2" t="s">
        <v>79</v>
      </c>
    </row>
    <row r="8" customFormat="false" ht="15" hidden="false" customHeight="false" outlineLevel="0" collapsed="false">
      <c r="A8" s="2" t="s">
        <v>25</v>
      </c>
      <c r="B8" s="3" t="n">
        <v>46319.6649884259</v>
      </c>
      <c r="C8" s="2" t="s">
        <v>62</v>
      </c>
      <c r="D8" s="2" t="s">
        <v>63</v>
      </c>
      <c r="E8" s="2" t="s">
        <v>72</v>
      </c>
      <c r="F8" s="2"/>
      <c r="G8" s="2" t="s">
        <v>65</v>
      </c>
    </row>
    <row r="9" customFormat="false" ht="15" hidden="false" customHeight="false" outlineLevel="0" collapsed="false">
      <c r="A9" s="2" t="s">
        <v>25</v>
      </c>
      <c r="B9" s="3" t="n">
        <v>46319.6650462963</v>
      </c>
      <c r="C9" s="2" t="s">
        <v>80</v>
      </c>
      <c r="D9" s="2" t="s">
        <v>81</v>
      </c>
      <c r="E9" s="2" t="s">
        <v>82</v>
      </c>
      <c r="F9" s="2"/>
      <c r="G9" s="2" t="s">
        <v>79</v>
      </c>
    </row>
    <row r="10" customFormat="false" ht="15" hidden="false" customHeight="false" outlineLevel="0" collapsed="false">
      <c r="A10" s="2" t="s">
        <v>25</v>
      </c>
      <c r="B10" s="3" t="n">
        <v>46319.6654861111</v>
      </c>
      <c r="C10" s="2" t="s">
        <v>66</v>
      </c>
      <c r="D10" s="2" t="s">
        <v>83</v>
      </c>
      <c r="E10" s="2" t="s">
        <v>68</v>
      </c>
      <c r="F10" s="2"/>
      <c r="G10" s="2"/>
    </row>
    <row r="11" customFormat="false" ht="15" hidden="false" customHeight="false" outlineLevel="0" collapsed="false">
      <c r="A11" s="2" t="s">
        <v>25</v>
      </c>
      <c r="B11" s="3" t="n">
        <v>46319.6668055556</v>
      </c>
      <c r="C11" s="2" t="s">
        <v>70</v>
      </c>
      <c r="D11" s="2" t="s">
        <v>71</v>
      </c>
      <c r="E11" s="2" t="s">
        <v>72</v>
      </c>
      <c r="F11" s="2" t="s">
        <v>27</v>
      </c>
      <c r="G11" s="2" t="s">
        <v>84</v>
      </c>
    </row>
    <row r="12" customFormat="false" ht="15" hidden="false" customHeight="false" outlineLevel="0" collapsed="false">
      <c r="A12" s="2" t="s">
        <v>31</v>
      </c>
      <c r="B12" s="3" t="n">
        <v>46319.6718981482</v>
      </c>
      <c r="C12" s="2" t="s">
        <v>62</v>
      </c>
      <c r="D12" s="2" t="s">
        <v>85</v>
      </c>
      <c r="E12" s="2" t="s">
        <v>72</v>
      </c>
      <c r="F12" s="2"/>
      <c r="G12" s="2" t="s">
        <v>65</v>
      </c>
    </row>
    <row r="13" customFormat="false" ht="15" hidden="false" customHeight="false" outlineLevel="0" collapsed="false">
      <c r="A13" s="2" t="s">
        <v>31</v>
      </c>
      <c r="B13" s="3" t="n">
        <v>46319.6723842593</v>
      </c>
      <c r="C13" s="2" t="s">
        <v>66</v>
      </c>
      <c r="D13" s="2" t="s">
        <v>86</v>
      </c>
      <c r="E13" s="2" t="s">
        <v>19</v>
      </c>
      <c r="F13" s="2"/>
      <c r="G13" s="2" t="s">
        <v>87</v>
      </c>
    </row>
    <row r="14" customFormat="false" ht="15" hidden="false" customHeight="false" outlineLevel="0" collapsed="false">
      <c r="A14" s="2" t="s">
        <v>31</v>
      </c>
      <c r="B14" s="3" t="n">
        <v>46319.6724421296</v>
      </c>
      <c r="C14" s="2" t="s">
        <v>66</v>
      </c>
      <c r="D14" s="2" t="s">
        <v>88</v>
      </c>
      <c r="E14" s="2" t="s">
        <v>19</v>
      </c>
      <c r="F14" s="2"/>
      <c r="G14" s="2" t="s">
        <v>89</v>
      </c>
    </row>
    <row r="15" customFormat="false" ht="15" hidden="false" customHeight="false" outlineLevel="0" collapsed="false">
      <c r="A15" s="2" t="s">
        <v>31</v>
      </c>
      <c r="B15" s="3" t="n">
        <v>46319.6741203704</v>
      </c>
      <c r="C15" s="2" t="s">
        <v>70</v>
      </c>
      <c r="D15" s="2" t="s">
        <v>90</v>
      </c>
      <c r="E15" s="2" t="s">
        <v>72</v>
      </c>
      <c r="F15" s="2" t="s">
        <v>91</v>
      </c>
      <c r="G15" s="2" t="s">
        <v>92</v>
      </c>
    </row>
    <row r="16" customFormat="false" ht="15" hidden="false" customHeight="false" outlineLevel="0" collapsed="false">
      <c r="A16" s="2" t="s">
        <v>31</v>
      </c>
      <c r="B16" s="3" t="n">
        <v>46319.6748611111</v>
      </c>
      <c r="C16" s="2" t="s">
        <v>70</v>
      </c>
      <c r="D16" s="2" t="s">
        <v>93</v>
      </c>
      <c r="E16" s="2" t="s">
        <v>19</v>
      </c>
      <c r="F16" s="2" t="s">
        <v>94</v>
      </c>
      <c r="G16" s="2" t="s">
        <v>92</v>
      </c>
    </row>
    <row r="17" customFormat="false" ht="15" hidden="false" customHeight="false" outlineLevel="0" collapsed="false">
      <c r="A17" s="2" t="s">
        <v>31</v>
      </c>
      <c r="B17" s="3" t="n">
        <v>46319.6773958333</v>
      </c>
      <c r="C17" s="2" t="s">
        <v>77</v>
      </c>
      <c r="D17" s="2" t="s">
        <v>95</v>
      </c>
      <c r="E17" s="2" t="s">
        <v>72</v>
      </c>
      <c r="F17" s="2"/>
      <c r="G17" s="2" t="s">
        <v>79</v>
      </c>
    </row>
    <row r="18" customFormat="false" ht="15" hidden="false" customHeight="false" outlineLevel="0" collapsed="false">
      <c r="A18" s="2" t="s">
        <v>36</v>
      </c>
      <c r="B18" s="3" t="n">
        <v>46319.6793865741</v>
      </c>
      <c r="C18" s="2" t="s">
        <v>62</v>
      </c>
      <c r="D18" s="2" t="s">
        <v>96</v>
      </c>
      <c r="E18" s="2" t="s">
        <v>72</v>
      </c>
      <c r="F18" s="2"/>
      <c r="G18" s="2"/>
    </row>
    <row r="19" customFormat="false" ht="15" hidden="false" customHeight="false" outlineLevel="0" collapsed="false">
      <c r="A19" s="2" t="s">
        <v>36</v>
      </c>
      <c r="B19" s="3" t="n">
        <v>46319.679849537</v>
      </c>
      <c r="C19" s="2" t="s">
        <v>62</v>
      </c>
      <c r="D19" s="2" t="s">
        <v>97</v>
      </c>
      <c r="E19" s="2" t="s">
        <v>72</v>
      </c>
      <c r="F19" s="2"/>
      <c r="G19" s="2" t="s">
        <v>98</v>
      </c>
    </row>
    <row r="20" customFormat="false" ht="15" hidden="false" customHeight="false" outlineLevel="0" collapsed="false">
      <c r="A20" s="2" t="s">
        <v>36</v>
      </c>
      <c r="B20" s="3" t="n">
        <v>46319.6799189815</v>
      </c>
      <c r="C20" s="2" t="s">
        <v>66</v>
      </c>
      <c r="D20" s="2" t="s">
        <v>99</v>
      </c>
      <c r="E20" s="2" t="s">
        <v>19</v>
      </c>
      <c r="F20" s="2"/>
      <c r="G20" s="2" t="s">
        <v>87</v>
      </c>
    </row>
    <row r="21" customFormat="false" ht="15" hidden="false" customHeight="false" outlineLevel="0" collapsed="false">
      <c r="A21" s="2" t="s">
        <v>36</v>
      </c>
      <c r="B21" s="3" t="n">
        <v>46319.6807407407</v>
      </c>
      <c r="C21" s="2" t="s">
        <v>70</v>
      </c>
      <c r="D21" s="2" t="s">
        <v>100</v>
      </c>
      <c r="E21" s="2" t="s">
        <v>19</v>
      </c>
      <c r="F21" s="2" t="s">
        <v>37</v>
      </c>
      <c r="G21" s="2" t="s">
        <v>101</v>
      </c>
    </row>
    <row r="22" customFormat="false" ht="15" hidden="false" customHeight="false" outlineLevel="0" collapsed="false">
      <c r="A22" s="2" t="s">
        <v>41</v>
      </c>
      <c r="B22" s="3" t="n">
        <v>46319.6841898148</v>
      </c>
      <c r="C22" s="2" t="s">
        <v>62</v>
      </c>
      <c r="D22" s="2" t="s">
        <v>102</v>
      </c>
      <c r="E22" s="2" t="s">
        <v>72</v>
      </c>
      <c r="F22" s="2"/>
      <c r="G22" s="2" t="s">
        <v>103</v>
      </c>
    </row>
    <row r="23" customFormat="false" ht="15" hidden="false" customHeight="false" outlineLevel="0" collapsed="false">
      <c r="A23" s="2" t="s">
        <v>41</v>
      </c>
      <c r="B23" s="3" t="n">
        <v>46319.6842939815</v>
      </c>
      <c r="C23" s="2" t="s">
        <v>104</v>
      </c>
      <c r="D23" s="2" t="s">
        <v>105</v>
      </c>
      <c r="E23" s="2" t="s">
        <v>106</v>
      </c>
      <c r="F23" s="2"/>
      <c r="G23" s="2" t="s">
        <v>79</v>
      </c>
    </row>
    <row r="24" customFormat="false" ht="15" hidden="false" customHeight="false" outlineLevel="0" collapsed="false">
      <c r="A24" s="2" t="s">
        <v>41</v>
      </c>
      <c r="B24" s="3" t="n">
        <v>46319.6843055556</v>
      </c>
      <c r="C24" s="2" t="s">
        <v>66</v>
      </c>
      <c r="D24" s="2" t="s">
        <v>107</v>
      </c>
      <c r="E24" s="2" t="s">
        <v>19</v>
      </c>
      <c r="F24" s="2"/>
      <c r="G24" s="2"/>
    </row>
    <row r="25" customFormat="false" ht="15" hidden="false" customHeight="false" outlineLevel="0" collapsed="false">
      <c r="A25" s="2" t="s">
        <v>44</v>
      </c>
      <c r="B25" s="3" t="n">
        <v>46319.6871643519</v>
      </c>
      <c r="C25" s="2" t="s">
        <v>77</v>
      </c>
      <c r="D25" s="2" t="s">
        <v>108</v>
      </c>
      <c r="E25" s="2" t="s">
        <v>72</v>
      </c>
      <c r="F25" s="2" t="s">
        <v>109</v>
      </c>
      <c r="G25" s="2" t="s">
        <v>110</v>
      </c>
    </row>
    <row r="26" customFormat="false" ht="15" hidden="false" customHeight="false" outlineLevel="0" collapsed="false">
      <c r="A26" s="2" t="s">
        <v>44</v>
      </c>
      <c r="B26" s="3" t="n">
        <v>46319.6885648148</v>
      </c>
      <c r="C26" s="2" t="s">
        <v>66</v>
      </c>
      <c r="D26" s="2" t="s">
        <v>111</v>
      </c>
      <c r="E26" s="2" t="s">
        <v>19</v>
      </c>
      <c r="F26" s="2"/>
      <c r="G26" s="2" t="s">
        <v>112</v>
      </c>
    </row>
    <row r="27" customFormat="false" ht="15" hidden="false" customHeight="false" outlineLevel="0" collapsed="false">
      <c r="A27" s="2" t="s">
        <v>44</v>
      </c>
      <c r="B27" s="3" t="n">
        <v>46319.6890740741</v>
      </c>
      <c r="C27" s="2" t="s">
        <v>66</v>
      </c>
      <c r="D27" s="2" t="s">
        <v>113</v>
      </c>
      <c r="E27" s="2" t="s">
        <v>19</v>
      </c>
      <c r="F27" s="2"/>
      <c r="G27" s="2" t="s">
        <v>87</v>
      </c>
    </row>
    <row r="28" customFormat="false" ht="15" hidden="false" customHeight="false" outlineLevel="0" collapsed="false">
      <c r="A28" s="2" t="s">
        <v>44</v>
      </c>
      <c r="B28" s="3" t="n">
        <v>46319.6891782407</v>
      </c>
      <c r="C28" s="2" t="s">
        <v>66</v>
      </c>
      <c r="D28" s="2" t="s">
        <v>114</v>
      </c>
      <c r="E28" s="2" t="s">
        <v>19</v>
      </c>
      <c r="F28" s="2"/>
      <c r="G28" s="2"/>
    </row>
    <row r="29" customFormat="false" ht="15" hidden="false" customHeight="false" outlineLevel="0" collapsed="false">
      <c r="A29" s="2" t="s">
        <v>44</v>
      </c>
      <c r="B29" s="3" t="n">
        <v>46319.6892824074</v>
      </c>
      <c r="C29" s="2" t="s">
        <v>66</v>
      </c>
      <c r="D29" s="2" t="s">
        <v>115</v>
      </c>
      <c r="E29" s="2" t="s">
        <v>19</v>
      </c>
      <c r="F29" s="2"/>
      <c r="G29" s="2" t="s">
        <v>116</v>
      </c>
    </row>
    <row r="30" customFormat="false" ht="15" hidden="false" customHeight="false" outlineLevel="0" collapsed="false">
      <c r="A30" s="2" t="s">
        <v>44</v>
      </c>
      <c r="B30" s="3" t="n">
        <v>46319.6911226852</v>
      </c>
      <c r="C30" s="2" t="s">
        <v>70</v>
      </c>
      <c r="D30" s="2" t="s">
        <v>117</v>
      </c>
      <c r="E30" s="2" t="s">
        <v>19</v>
      </c>
      <c r="F30" s="2" t="s">
        <v>46</v>
      </c>
      <c r="G30" s="2" t="s">
        <v>118</v>
      </c>
    </row>
    <row r="31" customFormat="false" ht="15" hidden="false" customHeight="false" outlineLevel="0" collapsed="false">
      <c r="A31" s="2" t="s">
        <v>44</v>
      </c>
      <c r="B31" s="3" t="n">
        <v>46319.6918171296</v>
      </c>
      <c r="C31" s="2" t="s">
        <v>70</v>
      </c>
      <c r="D31" s="2" t="s">
        <v>119</v>
      </c>
      <c r="E31" s="2" t="s">
        <v>19</v>
      </c>
      <c r="F31" s="2" t="s">
        <v>120</v>
      </c>
      <c r="G31" s="2" t="s">
        <v>121</v>
      </c>
    </row>
    <row r="32" customFormat="false" ht="15" hidden="false" customHeight="false" outlineLevel="0" collapsed="false">
      <c r="A32" s="2" t="s">
        <v>44</v>
      </c>
      <c r="B32" s="3" t="n">
        <v>46319.6929976852</v>
      </c>
      <c r="C32" s="2" t="s">
        <v>77</v>
      </c>
      <c r="D32" s="2" t="s">
        <v>122</v>
      </c>
      <c r="E32" s="2" t="s">
        <v>72</v>
      </c>
      <c r="F32" s="2"/>
      <c r="G32" s="2" t="s">
        <v>79</v>
      </c>
    </row>
    <row r="33" customFormat="false" ht="15" hidden="false" customHeight="false" outlineLevel="0" collapsed="false">
      <c r="A33" s="2" t="s">
        <v>44</v>
      </c>
      <c r="B33" s="3" t="n">
        <v>46319.6931712963</v>
      </c>
      <c r="C33" s="2" t="s">
        <v>77</v>
      </c>
      <c r="D33" s="2" t="s">
        <v>123</v>
      </c>
      <c r="E33" s="2" t="s">
        <v>72</v>
      </c>
      <c r="F33" s="2"/>
      <c r="G33" s="2"/>
    </row>
    <row r="34" customFormat="false" ht="15" hidden="false" customHeight="false" outlineLevel="0" collapsed="false">
      <c r="A34" s="2" t="s">
        <v>44</v>
      </c>
      <c r="B34" s="3" t="n">
        <v>46319.6934259259</v>
      </c>
      <c r="C34" s="2" t="s">
        <v>66</v>
      </c>
      <c r="D34" s="2" t="s">
        <v>124</v>
      </c>
      <c r="E34" s="2" t="s">
        <v>19</v>
      </c>
      <c r="F34" s="2"/>
      <c r="G34" s="2" t="s">
        <v>125</v>
      </c>
    </row>
    <row r="35" customFormat="false" ht="15" hidden="false" customHeight="false" outlineLevel="0" collapsed="false">
      <c r="A35" s="2" t="s">
        <v>44</v>
      </c>
      <c r="B35" s="3" t="n">
        <v>46319.6958333333</v>
      </c>
      <c r="C35" s="2" t="s">
        <v>77</v>
      </c>
      <c r="D35" s="2" t="s">
        <v>126</v>
      </c>
      <c r="E35" s="2" t="s">
        <v>72</v>
      </c>
      <c r="F35" s="2"/>
      <c r="G35" s="2" t="s">
        <v>127</v>
      </c>
    </row>
    <row r="36" customFormat="false" ht="15" hidden="false" customHeight="false" outlineLevel="0" collapsed="false">
      <c r="A36" s="2" t="s">
        <v>49</v>
      </c>
      <c r="B36" s="3" t="n">
        <v>46319.6968287037</v>
      </c>
      <c r="C36" s="2" t="s">
        <v>62</v>
      </c>
      <c r="D36" s="2" t="s">
        <v>128</v>
      </c>
      <c r="E36" s="2" t="s">
        <v>72</v>
      </c>
      <c r="F36" s="2"/>
      <c r="G36" s="2" t="s">
        <v>65</v>
      </c>
    </row>
    <row r="37" customFormat="false" ht="15" hidden="false" customHeight="false" outlineLevel="0" collapsed="false">
      <c r="A37" s="2" t="s">
        <v>49</v>
      </c>
      <c r="B37" s="3" t="n">
        <v>46319.6968981482</v>
      </c>
      <c r="C37" s="2" t="s">
        <v>129</v>
      </c>
      <c r="D37" s="2" t="s">
        <v>130</v>
      </c>
      <c r="E37" s="2" t="s">
        <v>131</v>
      </c>
      <c r="F37" s="2"/>
      <c r="G37" s="2" t="s">
        <v>79</v>
      </c>
    </row>
    <row r="38" customFormat="false" ht="15" hidden="false" customHeight="false" outlineLevel="0" collapsed="false">
      <c r="A38" s="2" t="s">
        <v>49</v>
      </c>
      <c r="B38" s="3" t="n">
        <v>46319.6977893519</v>
      </c>
      <c r="C38" s="2" t="s">
        <v>70</v>
      </c>
      <c r="D38" s="2" t="s">
        <v>132</v>
      </c>
      <c r="E38" s="2" t="s">
        <v>72</v>
      </c>
      <c r="F38" s="2" t="s">
        <v>52</v>
      </c>
      <c r="G38" s="2" t="s">
        <v>84</v>
      </c>
    </row>
    <row r="39" customFormat="false" ht="15" hidden="false" customHeight="false" outlineLevel="0" collapsed="false">
      <c r="A39" s="2"/>
      <c r="B39" s="3"/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3"/>
      <c r="C40" s="2"/>
      <c r="D40" s="2"/>
      <c r="E40" s="2"/>
      <c r="F40" s="2"/>
      <c r="G40" s="2"/>
    </row>
    <row r="41" customFormat="false" ht="15" hidden="false" customHeight="false" outlineLevel="0" collapsed="false">
      <c r="A41" s="2"/>
      <c r="B41" s="3"/>
      <c r="C41" s="2"/>
      <c r="D41" s="2"/>
      <c r="E41" s="2"/>
      <c r="F41" s="2"/>
      <c r="G41" s="2"/>
    </row>
    <row r="42" customFormat="false" ht="15" hidden="false" customHeight="false" outlineLevel="0" collapsed="false">
      <c r="A42" s="2"/>
      <c r="B42" s="3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3"/>
      <c r="C43" s="2"/>
      <c r="D43" s="2"/>
      <c r="E43" s="2"/>
      <c r="F43" s="2"/>
      <c r="G43" s="2"/>
    </row>
    <row r="44" customFormat="false" ht="15" hidden="false" customHeight="false" outlineLevel="0" collapsed="false">
      <c r="A44" s="2"/>
      <c r="B44" s="3"/>
      <c r="C44" s="2"/>
      <c r="D44" s="2"/>
      <c r="E44" s="2"/>
      <c r="F44" s="2"/>
      <c r="G44" s="2"/>
    </row>
    <row r="45" customFormat="false" ht="15" hidden="false" customHeight="false" outlineLevel="0" collapsed="false">
      <c r="A45" s="2"/>
      <c r="B45" s="3"/>
      <c r="C45" s="2"/>
      <c r="D45" s="2"/>
      <c r="E45" s="2"/>
      <c r="F45" s="2"/>
      <c r="G45" s="2"/>
    </row>
    <row r="46" customFormat="false" ht="15" hidden="false" customHeight="false" outlineLevel="0" collapsed="false">
      <c r="A46" s="2"/>
      <c r="B46" s="3"/>
      <c r="C46" s="2"/>
      <c r="D46" s="2"/>
      <c r="E46" s="2"/>
      <c r="F46" s="2"/>
      <c r="G46" s="2"/>
    </row>
    <row r="47" customFormat="false" ht="15" hidden="false" customHeight="false" outlineLevel="0" collapsed="false">
      <c r="A47" s="2"/>
      <c r="B47" s="3"/>
      <c r="C47" s="2"/>
      <c r="D47" s="2"/>
      <c r="E47" s="2"/>
      <c r="F47" s="2"/>
      <c r="G47" s="2"/>
    </row>
    <row r="48" customFormat="false" ht="15" hidden="false" customHeight="false" outlineLevel="0" collapsed="false">
      <c r="A48" s="2"/>
      <c r="B48" s="3"/>
      <c r="C48" s="2"/>
      <c r="D48" s="2"/>
      <c r="E48" s="2"/>
      <c r="F48" s="2"/>
      <c r="G48" s="2"/>
    </row>
    <row r="49" customFormat="false" ht="15" hidden="false" customHeight="false" outlineLevel="0" collapsed="false">
      <c r="A49" s="2"/>
      <c r="B49" s="3"/>
      <c r="C49" s="2"/>
      <c r="D49" s="2"/>
      <c r="E49" s="2"/>
      <c r="F49" s="2"/>
      <c r="G49" s="2"/>
    </row>
    <row r="50" customFormat="false" ht="15" hidden="false" customHeight="false" outlineLevel="0" collapsed="false">
      <c r="A50" s="2"/>
      <c r="B50" s="3"/>
      <c r="C50" s="2"/>
      <c r="D50" s="2"/>
      <c r="E50" s="2"/>
      <c r="F50" s="2"/>
      <c r="G50" s="2"/>
    </row>
    <row r="51" customFormat="false" ht="15" hidden="false" customHeight="false" outlineLevel="0" collapsed="false">
      <c r="A51" s="2"/>
      <c r="B51" s="3"/>
      <c r="C51" s="2"/>
      <c r="D51" s="2"/>
      <c r="E51" s="2"/>
      <c r="F51" s="2"/>
      <c r="G51" s="2"/>
    </row>
    <row r="52" customFormat="false" ht="15" hidden="false" customHeight="false" outlineLevel="0" collapsed="false">
      <c r="A52" s="2"/>
      <c r="B52" s="3"/>
      <c r="C52" s="2"/>
      <c r="D52" s="2"/>
      <c r="E52" s="2"/>
      <c r="F52" s="2"/>
      <c r="G52" s="2"/>
    </row>
    <row r="53" customFormat="false" ht="15" hidden="false" customHeight="false" outlineLevel="0" collapsed="false">
      <c r="A53" s="2"/>
      <c r="B53" s="3"/>
      <c r="C53" s="2"/>
      <c r="D53" s="2"/>
      <c r="E53" s="2"/>
      <c r="F53" s="2"/>
      <c r="G53" s="2"/>
    </row>
    <row r="54" customFormat="false" ht="15" hidden="false" customHeight="false" outlineLevel="0" collapsed="false">
      <c r="A54" s="2"/>
      <c r="B54" s="3"/>
      <c r="C54" s="2"/>
      <c r="D54" s="2"/>
      <c r="E54" s="2"/>
      <c r="F54" s="2"/>
      <c r="G54" s="2"/>
    </row>
    <row r="55" customFormat="false" ht="15" hidden="false" customHeight="false" outlineLevel="0" collapsed="false">
      <c r="A55" s="2"/>
      <c r="B55" s="3"/>
      <c r="C55" s="2"/>
      <c r="D55" s="2"/>
      <c r="E55" s="2"/>
      <c r="F55" s="2"/>
      <c r="G55" s="2"/>
    </row>
    <row r="56" customFormat="false" ht="15" hidden="false" customHeight="false" outlineLevel="0" collapsed="false">
      <c r="A56" s="2"/>
      <c r="B56" s="3"/>
      <c r="C56" s="2"/>
      <c r="D56" s="2"/>
      <c r="E56" s="2"/>
      <c r="F56" s="2"/>
      <c r="G56" s="2"/>
    </row>
    <row r="57" customFormat="false" ht="15" hidden="false" customHeight="false" outlineLevel="0" collapsed="false">
      <c r="A57" s="2"/>
      <c r="B57" s="3"/>
      <c r="C57" s="2"/>
      <c r="D57" s="2"/>
      <c r="E57" s="2"/>
      <c r="F57" s="2"/>
      <c r="G57" s="2"/>
    </row>
    <row r="58" customFormat="false" ht="15" hidden="false" customHeight="false" outlineLevel="0" collapsed="false">
      <c r="A58" s="2"/>
      <c r="B58" s="3"/>
      <c r="C58" s="2"/>
      <c r="D58" s="2"/>
      <c r="E58" s="2"/>
      <c r="F58" s="2"/>
      <c r="G58" s="2"/>
    </row>
    <row r="59" customFormat="false" ht="15" hidden="false" customHeight="false" outlineLevel="0" collapsed="false">
      <c r="A59" s="2"/>
      <c r="B59" s="3"/>
      <c r="C59" s="2"/>
      <c r="D59" s="2"/>
      <c r="E59" s="2"/>
      <c r="F59" s="2"/>
      <c r="G59" s="2"/>
    </row>
    <row r="60" customFormat="false" ht="15" hidden="false" customHeight="false" outlineLevel="0" collapsed="false">
      <c r="A60" s="2"/>
      <c r="B60" s="3"/>
      <c r="C60" s="2"/>
      <c r="D60" s="2"/>
      <c r="E60" s="2"/>
      <c r="F60" s="2"/>
      <c r="G60" s="2"/>
    </row>
    <row r="61" customFormat="false" ht="15" hidden="false" customHeight="false" outlineLevel="0" collapsed="false">
      <c r="A61" s="2"/>
      <c r="B61" s="3"/>
      <c r="C61" s="2"/>
      <c r="D61" s="2"/>
      <c r="E61" s="2"/>
      <c r="F61" s="2"/>
      <c r="G61" s="2"/>
    </row>
    <row r="62" customFormat="false" ht="15" hidden="false" customHeight="false" outlineLevel="0" collapsed="false">
      <c r="A62" s="2"/>
      <c r="B62" s="3"/>
      <c r="C62" s="2"/>
      <c r="D62" s="2"/>
      <c r="E62" s="2"/>
      <c r="F62" s="2"/>
      <c r="G62" s="2"/>
    </row>
    <row r="63" customFormat="false" ht="15" hidden="false" customHeight="false" outlineLevel="0" collapsed="false">
      <c r="A63" s="2"/>
      <c r="B63" s="3"/>
      <c r="C63" s="2"/>
      <c r="D63" s="2"/>
      <c r="E63" s="2"/>
      <c r="F63" s="2"/>
      <c r="G63" s="2"/>
    </row>
    <row r="64" customFormat="false" ht="15" hidden="false" customHeight="false" outlineLevel="0" collapsed="false">
      <c r="A64" s="2"/>
      <c r="B64" s="3"/>
      <c r="C64" s="2"/>
      <c r="D64" s="2"/>
      <c r="E64" s="2"/>
      <c r="F64" s="2"/>
      <c r="G64" s="2"/>
    </row>
    <row r="65" customFormat="false" ht="15" hidden="false" customHeight="false" outlineLevel="0" collapsed="false">
      <c r="A65" s="2"/>
      <c r="B65" s="3"/>
      <c r="C65" s="2"/>
      <c r="D65" s="2"/>
      <c r="E65" s="2"/>
      <c r="F65" s="2"/>
      <c r="G65" s="2"/>
    </row>
    <row r="66" customFormat="false" ht="15" hidden="false" customHeight="false" outlineLevel="0" collapsed="false">
      <c r="A66" s="2"/>
      <c r="B66" s="3"/>
      <c r="C66" s="2"/>
      <c r="D66" s="2"/>
      <c r="E66" s="2"/>
      <c r="F66" s="2"/>
      <c r="G66" s="2"/>
    </row>
    <row r="67" customFormat="false" ht="15" hidden="false" customHeight="false" outlineLevel="0" collapsed="false">
      <c r="A67" s="2"/>
      <c r="B67" s="3"/>
      <c r="C67" s="2"/>
      <c r="D67" s="2"/>
      <c r="E67" s="2"/>
      <c r="F67" s="2"/>
      <c r="G67" s="2"/>
    </row>
    <row r="68" customFormat="false" ht="15" hidden="false" customHeight="false" outlineLevel="0" collapsed="false">
      <c r="A68" s="2"/>
      <c r="B68" s="3"/>
      <c r="C68" s="2"/>
      <c r="D68" s="2"/>
      <c r="E68" s="2"/>
      <c r="F68" s="2"/>
      <c r="G68" s="2"/>
    </row>
    <row r="69" customFormat="false" ht="15" hidden="false" customHeight="false" outlineLevel="0" collapsed="false">
      <c r="A69" s="2"/>
      <c r="B69" s="3"/>
      <c r="C69" s="2"/>
      <c r="D69" s="2"/>
      <c r="E69" s="2"/>
      <c r="F69" s="2"/>
      <c r="G69" s="2"/>
    </row>
    <row r="70" customFormat="false" ht="15" hidden="false" customHeight="false" outlineLevel="0" collapsed="false">
      <c r="A70" s="2"/>
      <c r="B70" s="3"/>
      <c r="C70" s="2"/>
      <c r="D70" s="2"/>
      <c r="E70" s="2"/>
      <c r="F70" s="2"/>
      <c r="G70" s="2"/>
    </row>
    <row r="71" customFormat="false" ht="15" hidden="false" customHeight="false" outlineLevel="0" collapsed="false">
      <c r="A71" s="2"/>
      <c r="B71" s="3"/>
      <c r="C71" s="2"/>
      <c r="D71" s="2"/>
      <c r="E71" s="2"/>
      <c r="F71" s="2"/>
      <c r="G71" s="2"/>
    </row>
    <row r="72" customFormat="false" ht="15" hidden="false" customHeight="false" outlineLevel="0" collapsed="false">
      <c r="A72" s="2"/>
      <c r="B72" s="3"/>
      <c r="C72" s="2"/>
      <c r="D72" s="2"/>
      <c r="E72" s="2"/>
      <c r="F72" s="2"/>
      <c r="G72" s="2"/>
    </row>
    <row r="73" customFormat="false" ht="15" hidden="false" customHeight="false" outlineLevel="0" collapsed="false">
      <c r="A73" s="2"/>
      <c r="B73" s="3"/>
      <c r="C73" s="2"/>
      <c r="D73" s="2"/>
      <c r="E73" s="2"/>
      <c r="F73" s="2"/>
      <c r="G73" s="2"/>
    </row>
    <row r="74" customFormat="false" ht="15" hidden="false" customHeight="false" outlineLevel="0" collapsed="false">
      <c r="A74" s="2"/>
      <c r="B74" s="3"/>
      <c r="C74" s="2"/>
      <c r="D74" s="2"/>
      <c r="E74" s="2"/>
      <c r="F74" s="2"/>
      <c r="G74" s="2"/>
    </row>
    <row r="75" customFormat="false" ht="15" hidden="false" customHeight="false" outlineLevel="0" collapsed="false">
      <c r="A75" s="2"/>
      <c r="B75" s="3"/>
      <c r="C75" s="2"/>
      <c r="D75" s="2"/>
      <c r="E75" s="2"/>
      <c r="F75" s="2"/>
      <c r="G75" s="2"/>
    </row>
    <row r="76" customFormat="false" ht="15" hidden="false" customHeight="false" outlineLevel="0" collapsed="false">
      <c r="A76" s="2"/>
      <c r="B76" s="3"/>
      <c r="C76" s="2"/>
      <c r="D76" s="2"/>
      <c r="E76" s="2"/>
      <c r="F76" s="2"/>
      <c r="G76" s="2"/>
    </row>
  </sheetData>
  <dataValidations count="1">
    <dataValidation allowBlank="true" errorStyle="stop" operator="between" showDropDown="false" showErrorMessage="false" showInputMessage="false" sqref="C2:C500" type="list">
      <formula1>"CloudTrail,Wazuh,SNS / L1,SNS / L2,SNS / L3,Attacker,Responder,IAM poller"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7" t="s">
        <v>133</v>
      </c>
      <c r="B1" s="8"/>
    </row>
    <row r="2" customFormat="false" ht="26.85" hidden="false" customHeight="false" outlineLevel="0" collapsed="false">
      <c r="A2" s="9" t="s">
        <v>134</v>
      </c>
      <c r="B2" s="8" t="s">
        <v>135</v>
      </c>
    </row>
    <row r="3" customFormat="false" ht="15" hidden="false" customHeight="false" outlineLevel="0" collapsed="false">
      <c r="A3" s="9" t="s">
        <v>136</v>
      </c>
      <c r="B3" s="8" t="s">
        <v>137</v>
      </c>
    </row>
    <row r="4" customFormat="false" ht="26.85" hidden="false" customHeight="false" outlineLevel="0" collapsed="false">
      <c r="A4" s="9" t="s">
        <v>0</v>
      </c>
      <c r="B4" s="8" t="s">
        <v>138</v>
      </c>
    </row>
    <row r="5" customFormat="false" ht="26.85" hidden="false" customHeight="false" outlineLevel="0" collapsed="false">
      <c r="A5" s="9" t="s">
        <v>139</v>
      </c>
      <c r="B5" s="8" t="s">
        <v>140</v>
      </c>
    </row>
    <row r="6" customFormat="false" ht="26.85" hidden="false" customHeight="false" outlineLevel="0" collapsed="false">
      <c r="A6" s="9" t="s">
        <v>103</v>
      </c>
      <c r="B6" s="8" t="s">
        <v>141</v>
      </c>
    </row>
    <row r="7" customFormat="false" ht="15" hidden="false" customHeight="false" outlineLevel="0" collapsed="false">
      <c r="A7" s="9" t="s">
        <v>142</v>
      </c>
      <c r="B7" s="8" t="s">
        <v>143</v>
      </c>
    </row>
    <row r="8" customFormat="false" ht="26.85" hidden="false" customHeight="false" outlineLevel="0" collapsed="false">
      <c r="A8" s="9" t="s">
        <v>144</v>
      </c>
      <c r="B8" s="8" t="s">
        <v>145</v>
      </c>
    </row>
    <row r="9" customFormat="false" ht="26.85" hidden="false" customHeight="false" outlineLevel="0" collapsed="false">
      <c r="A9" s="9" t="s">
        <v>146</v>
      </c>
      <c r="B9" s="8" t="s">
        <v>147</v>
      </c>
    </row>
    <row r="10" customFormat="false" ht="26.85" hidden="false" customHeight="false" outlineLevel="0" collapsed="false">
      <c r="A10" s="9" t="s">
        <v>4</v>
      </c>
      <c r="B10" s="8" t="s">
        <v>148</v>
      </c>
    </row>
    <row r="11" customFormat="false" ht="26.85" hidden="false" customHeight="false" outlineLevel="0" collapsed="false">
      <c r="A11" s="9" t="s">
        <v>149</v>
      </c>
      <c r="B11" s="8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2026-10-25T00:27:04Z</dcterms:created>
  <dc:creator>openpyxl</dc:creator>
  <dc:description/>
  <dc:language>en-US</dc:language>
  <cp:lastModifiedBy/>
  <dcterms:modified xsi:type="dcterms:W3CDTF">2026-10-25T00:27:04Z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