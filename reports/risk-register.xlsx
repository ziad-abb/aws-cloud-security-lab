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ummary" sheetId="2" state="visible" r:id="rId4"/>
    <sheet name="Method" sheetId="3" state="visible" r:id="rId5"/>
  </sheets>
  <definedNames>
    <definedName function="false" hidden="true" localSheetId="0" name="_xlnm._FilterDatabase" vbProcedure="false">'Risk register'!$A$1:$W$18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<sst xmlns="http://schemas.openxmlformats.org/spreadsheetml/2006/main" count="306" uniqueCount="227">
  <si>
    <t xml:space="preserve">ID</t>
  </si>
  <si>
    <t xml:space="preserve">Risk</t>
  </si>
  <si>
    <t xml:space="preserve">Source / scenario</t>
  </si>
  <si>
    <t xml:space="preserve">Asset</t>
  </si>
  <si>
    <t xml:space="preserve">Threat</t>
  </si>
  <si>
    <t xml:space="preserve">Vulnerability</t>
  </si>
  <si>
    <t xml:space="preserve">L (1-5)</t>
  </si>
  <si>
    <t xml:space="preserve">I (1-5)</t>
  </si>
  <si>
    <t xml:space="preserve">Inherent score</t>
  </si>
  <si>
    <t xml:space="preserve">Inherent level</t>
  </si>
  <si>
    <t xml:space="preserve">Existing controls</t>
  </si>
  <si>
    <t xml:space="preserve">Evidence of effectiveness (measured)</t>
  </si>
  <si>
    <t xml:space="preserve">Residual L</t>
  </si>
  <si>
    <t xml:space="preserve">Residual I</t>
  </si>
  <si>
    <t xml:space="preserve">Residual score</t>
  </si>
  <si>
    <t xml:space="preserve">Residual level</t>
  </si>
  <si>
    <t xml:space="preserve">Treatment</t>
  </si>
  <si>
    <t xml:space="preserve">Planned action</t>
  </si>
  <si>
    <t xml:space="preserve">Owner</t>
  </si>
  <si>
    <t xml:space="preserve">Target</t>
  </si>
  <si>
    <t xml:space="preserve">Status</t>
  </si>
  <si>
    <t xml:space="preserve">ISO 27001:2022 Annex A</t>
  </si>
  <si>
    <t xml:space="preserve">CIS AWS 7.0 section</t>
  </si>
  <si>
    <t xml:space="preserve">R01</t>
  </si>
  <si>
    <t xml:space="preserve">Customer data exposed publicly through an S3 misconfiguration</t>
  </si>
  <si>
    <t xml:space="preserve">S1</t>
  </si>
  <si>
    <t xml:space="preserve">S3 data bucket (PII)</t>
  </si>
  <si>
    <t xml:space="preserve">Anonymous internet user</t>
  </si>
  <si>
    <t xml:space="preserve">Bucket-level BPA can be disabled; no account-level BPA, no SCP</t>
  </si>
  <si>
    <t xml:space="preserve">Bucket BPA + TLS-only policy; SSE-KMS copy; Wazuh 100100-104; Lambda L1 auto re-block</t>
  </si>
  <si>
    <t xml:space="preserve">S1a: detected 3 min 34 s after the read, manual fix 7 min 55 s; S1b-2: L1 fixed in 9.9 s; KMS copy never readable</t>
  </si>
  <si>
    <t xml:space="preserve">Mitigate</t>
  </si>
  <si>
    <t xml:space="preserve">Account-level S3 BPA (done 2026-10-25, CIS 3.1.4 pass); L1 should also remove the public policy statement</t>
  </si>
  <si>
    <t xml:space="preserve">Ziad A.</t>
  </si>
  <si>
    <t xml:space="preserve">2026-10-25</t>
  </si>
  <si>
    <t xml:space="preserve">Closed</t>
  </si>
  <si>
    <t xml:space="preserve">5.15, 5.23, 8.3, 8.12, 8.24</t>
  </si>
  <si>
    <t xml:space="preserve">3 Storage</t>
  </si>
  <si>
    <t xml:space="preserve">R02</t>
  </si>
  <si>
    <t xml:space="preserve">Long-lived CI access key leaked through source code</t>
  </si>
  <si>
    <t xml:space="preserve">S2</t>
  </si>
  <si>
    <t xml:space="preserve">dev-ci IAM user, data bucket</t>
  </si>
  <si>
    <t xml:space="preserve">External attacker / secret-scanning bots</t>
  </si>
  <si>
    <t xml:space="preserve">Static key stored in a file in Git history; no secret scanning</t>
  </si>
  <si>
    <t xml:space="preserve">Least-privilege dev-ci (no kms:Decrypt); Wazuh 100110 (unknown IP); RB-S2 runbook</t>
  </si>
  <si>
    <t xml:space="preserve">Detected 3 min 41 s after first misuse; contained 2 min 42 s after alert; KMS copy denied</t>
  </si>
  <si>
    <t xml:space="preserve">OIDC federation for CI (no standing keys); pre-commit + push-protection secret scanning</t>
  </si>
  <si>
    <t xml:space="preserve">Recommended</t>
  </si>
  <si>
    <t xml:space="preserve">Open</t>
  </si>
  <si>
    <t xml:space="preserve">5.17, 8.4, 8.5, 8.28</t>
  </si>
  <si>
    <t xml:space="preserve">2 IAM</t>
  </si>
  <si>
    <t xml:space="preserve">R03</t>
  </si>
  <si>
    <t xml:space="preserve">Attacker persistence through additional access keys</t>
  </si>
  <si>
    <t xml:space="preserve">IAM users</t>
  </si>
  <si>
    <t xml:space="preserve">Attacker holding a valid key</t>
  </si>
  <si>
    <t xml:space="preserve">Identity allowed to create its own keys</t>
  </si>
  <si>
    <t xml:space="preserve">Wazuh 100113 (level 14) via us-east-1 IAM poller; AWSDenyAll-first containment</t>
  </si>
  <si>
    <t xml:space="preserve">Persistence detected 3 min 40 s after creation; neutralized 5 min 21 s after creation</t>
  </si>
  <si>
    <t xml:space="preserve">Remove iam:CreateAccessKey from CI identities</t>
  </si>
  <si>
    <t xml:space="preserve">5.16, 5.18, 8.2</t>
  </si>
  <si>
    <t xml:space="preserve">R04</t>
  </si>
  <si>
    <t xml:space="preserve">Administrative port exposed to the internet and attacked</t>
  </si>
  <si>
    <t xml:space="preserve">S3</t>
  </si>
  <si>
    <t xml:space="preserve">EC2 web instance</t>
  </si>
  <si>
    <t xml:space="preserve">Internet scanners, brute force</t>
  </si>
  <si>
    <t xml:space="preserve">Security group can be opened to 0.0.0.0/0; no NACL second layer</t>
  </si>
  <si>
    <t xml:space="preserve">No key pair, no password auth, SSM only; Wazuh 100121 + 5710/5712; Lambda L2</t>
  </si>
  <si>
    <t xml:space="preserve">Hydra aborted (no password auth); S3a manual 7 min 57 s; S3b L2 5.3 s; agent detection in seconds</t>
  </si>
  <si>
    <t xml:space="preserve">NACL + VPC flow logs done 2026-10-25 (CIS 4.7 pass); 100121+57xx correlation recommended</t>
  </si>
  <si>
    <t xml:space="preserve">8.20, 8.22, 8.5, 8.16</t>
  </si>
  <si>
    <t xml:space="preserve">6 Networking</t>
  </si>
  <si>
    <t xml:space="preserve">R05</t>
  </si>
  <si>
    <t xml:space="preserve">Instance role credentials stolen through IMDSv1 + SSRF</t>
  </si>
  <si>
    <t xml:space="preserve">M-IMDS</t>
  </si>
  <si>
    <t xml:space="preserve">lab-web-role credentials</t>
  </si>
  <si>
    <t xml:space="preserve">Attacker exploiting a web SSRF</t>
  </si>
  <si>
    <t xml:space="preserve">IMDSv1 can be re-enabled per instance</t>
  </si>
  <si>
    <t xml:space="preserve">IMDSv2 required, hop limit 1; Lambda L3; Wazuh 100132; rules 100130/131/133 for credential use outside the instance</t>
  </si>
  <si>
    <t xml:space="preserve">L3 fixed in 6.4 s; 100132 in 1 min 23 s</t>
  </si>
  <si>
    <t xml:space="preserve">Account default IMDSv2 required (done 2026-10-25)</t>
  </si>
  <si>
    <t xml:space="preserve">8.9, 8.20</t>
  </si>
  <si>
    <t xml:space="preserve">R06</t>
  </si>
  <si>
    <t xml:space="preserve">Automated remediation silently not working</t>
  </si>
  <si>
    <t xml:space="preserve">S1b-1</t>
  </si>
  <si>
    <t xml:space="preserve">Lambda L1-L3 / EventBridge</t>
  </si>
  <si>
    <t xml:space="preserve">Operational failure</t>
  </si>
  <si>
    <t xml:space="preserve">Rule changes and new trails are eventually consistent; no health check of automation</t>
  </si>
  <si>
    <t xml:space="preserve">SIEM detection independent of automation; session checklist (wait ≥ 60 s / ≥ 5 min)</t>
  </si>
  <si>
    <t xml:space="preserve">S1b-1: L1 never ran, Wazuh still alerted ~1 min after first read; bucket public 6 min 25 s</t>
  </si>
  <si>
    <t xml:space="preserve">Keep rules always on; canary test after changes; alert if 100101 not followed by an L1 confirmation within 2 min</t>
  </si>
  <si>
    <t xml:space="preserve">Phase 5</t>
  </si>
  <si>
    <t xml:space="preserve">8.16, 5.30</t>
  </si>
  <si>
    <t xml:space="preserve">5 Monitoring</t>
  </si>
  <si>
    <t xml:space="preserve">R07</t>
  </si>
  <si>
    <t xml:space="preserve">IAM activity missed by the regional trail</t>
  </si>
  <si>
    <t xml:space="preserve">Phase 1 finding</t>
  </si>
  <si>
    <t xml:space="preserve">Detection pipeline</t>
  </si>
  <si>
    <t xml:space="preserve">Any IAM misuse</t>
  </si>
  <si>
    <t xml:space="preserve">IAM is global and logged only in us-east-1; Free plan has no multi-region trail</t>
  </si>
  <si>
    <t xml:space="preserve">IAM poller on the us-east-1 event history (every 2 min)</t>
  </si>
  <si>
    <t xml:space="preserve">100111/100113 fired live on IAM events; latency 2.5-4 min</t>
  </si>
  <si>
    <t xml:space="preserve">Accept (compensated)</t>
  </si>
  <si>
    <t xml:space="preserve">Multi-region trail when the plan allows it</t>
  </si>
  <si>
    <t xml:space="preserve">—</t>
  </si>
  <si>
    <t xml:space="preserve">Accepted</t>
  </si>
  <si>
    <t xml:space="preserve">8.15, 8.16</t>
  </si>
  <si>
    <t xml:space="preserve">4 Logging</t>
  </si>
  <si>
    <t xml:space="preserve">R08</t>
  </si>
  <si>
    <t xml:space="preserve">Late CloudTrail files skipped by log ingestion</t>
  </si>
  <si>
    <t xml:space="preserve">Phase 2 finding</t>
  </si>
  <si>
    <t xml:space="preserve">Any attack in data events</t>
  </si>
  <si>
    <t xml:space="preserve">Polling reader tracked the last file name; data-event files arrive out of order</t>
  </si>
  <si>
    <t xml:space="preserve">S3 → SQS notification + reader in arrival order, DLQ, de-dup</t>
  </si>
  <si>
    <t xml:space="preserve">All 26 anonymous reads in S1 ingested (100103); 0 lost</t>
  </si>
  <si>
    <t xml:space="preserve">Done</t>
  </si>
  <si>
    <t xml:space="preserve">R09</t>
  </si>
  <si>
    <t xml:space="preserve">Activity in other regions not monitored</t>
  </si>
  <si>
    <t xml:space="preserve">Design</t>
  </si>
  <si>
    <t xml:space="preserve">AWS account</t>
  </si>
  <si>
    <t xml:space="preserve">Attacker using an unused region</t>
  </si>
  <si>
    <t xml:space="preserve">Single-region trail (multi-region unsupported on the plan); rule 100151 cannot fire</t>
  </si>
  <si>
    <t xml:space="preserve">Account restricted to one region by the plan itself</t>
  </si>
  <si>
    <t xml:space="preserve">Accept</t>
  </si>
  <si>
    <t xml:space="preserve">Re-assess if the plan changes</t>
  </si>
  <si>
    <t xml:space="preserve">R10</t>
  </si>
  <si>
    <t xml:space="preserve">Over-privileged admin IAM user with a long-lived key</t>
  </si>
  <si>
    <t xml:space="preserve">Phase 0</t>
  </si>
  <si>
    <t xml:space="preserve">Whole account</t>
  </si>
  <si>
    <t xml:space="preserve">Key theft from the laptop</t>
  </si>
  <si>
    <t xml:space="preserve">AdministratorAccess on a user with a CLI key</t>
  </si>
  <si>
    <t xml:space="preserve">MFA on console, key only on the laptop, budget alert, own-admin activity logged (100143), password policy (CIS 2.8/2.9)</t>
  </si>
  <si>
    <t xml:space="preserve">Hardening attempt showed groups are denied by the account SCP</t>
  </si>
  <si>
    <t xml:space="preserve">Accept (temporary)</t>
  </si>
  <si>
    <t xml:space="preserve">Groups blocked by an AWS-managed SCP (explicit deny on iam:CreateGroup, 2026-10-25); delete the key at Phase 6</t>
  </si>
  <si>
    <t xml:space="preserve">Phase 6</t>
  </si>
  <si>
    <t xml:space="preserve">5.15, 5.18, 8.2</t>
  </si>
  <si>
    <t xml:space="preserve">R11</t>
  </si>
  <si>
    <t xml:space="preserve">Tailscale auth key exposed in a chat</t>
  </si>
  <si>
    <t xml:space="preserve">Phase 2</t>
  </si>
  <si>
    <t xml:space="preserve">Tailnet (SIEM network)</t>
  </si>
  <si>
    <t xml:space="preserve">Anyone who saw the key</t>
  </si>
  <si>
    <t xml:space="preserve">Reusable key, not rotated by decision</t>
  </si>
  <si>
    <t xml:space="preserve">Ephemeral nodes; Tailscale Machines list checked after sessions</t>
  </si>
  <si>
    <t xml:space="preserve">No unknown device seen</t>
  </si>
  <si>
    <t xml:space="preserve">Revoke the key at the end of the lab; Tailscale ACL</t>
  </si>
  <si>
    <t xml:space="preserve">5.17, 8.5</t>
  </si>
  <si>
    <t xml:space="preserve">R12</t>
  </si>
  <si>
    <t xml:space="preserve">Instance role can read the Tailscale key and join the SIEM network</t>
  </si>
  <si>
    <t xml:space="preserve">Tailnet, Wazuh manager</t>
  </si>
  <si>
    <t xml:space="preserve">Attacker with the role's credentials</t>
  </si>
  <si>
    <t xml:space="preserve">Role allowed ssm:GetParameter on the auth key; no tailnet ACL</t>
  </si>
  <si>
    <t xml:space="preserve">IMDSv2 + L3 (credential theft hard); Wazuh 100130 for role use outside the instance</t>
  </si>
  <si>
    <t xml:space="preserve">Tagged auth key + ACL limiting EC2 to Wazuh ports 1514/1515</t>
  </si>
  <si>
    <t xml:space="preserve">8.20, 8.22, 5.15</t>
  </si>
  <si>
    <t xml:space="preserve">R13</t>
  </si>
  <si>
    <t xml:space="preserve">Dynamic home IP breaks IP-pinned controls / creates false positives</t>
  </si>
  <si>
    <t xml:space="preserve">Operations</t>
  </si>
  <si>
    <t xml:space="preserve">wazuh-reader policy, known-IP list</t>
  </si>
  <si>
    <t xml:space="preserve">ISP changes the IP almost daily</t>
  </si>
  <si>
    <t xml:space="preserve">refresh_home_ip.ps1 at the start of each session</t>
  </si>
  <si>
    <t xml:space="preserve">100150 false positives seen for the previous day's IP</t>
  </si>
  <si>
    <t xml:space="preserve">Fixed IP or VPN egress in a real deployment</t>
  </si>
  <si>
    <t xml:space="preserve">8.16</t>
  </si>
  <si>
    <t xml:space="preserve">R14</t>
  </si>
  <si>
    <t xml:space="preserve">No managed threat detection (GuardDuty, Security Hub, Config)</t>
  </si>
  <si>
    <t xml:space="preserve">Plan limitation</t>
  </si>
  <si>
    <t xml:space="preserve">Threats outside custom rules</t>
  </si>
  <si>
    <t xml:space="preserve">Services not available on the account's plan</t>
  </si>
  <si>
    <t xml:space="preserve">21 custom Wazuh rules; Prowler CIS scans; 15 CIS CloudWatch-alarm checks compensated by Wazuh rules</t>
  </si>
  <si>
    <t xml:space="preserve">Every scenario detected by at least one rule</t>
  </si>
  <si>
    <t xml:space="preserve">Enable GuardDuty/Security Hub/Config when the plan allows it</t>
  </si>
  <si>
    <t xml:space="preserve">5.7, 8.16</t>
  </si>
  <si>
    <t xml:space="preserve">R15</t>
  </si>
  <si>
    <t xml:space="preserve">Sensitive identifiers published in the public repository</t>
  </si>
  <si>
    <t xml:space="preserve">Phase 6 prep</t>
  </si>
  <si>
    <t xml:space="preserve">GitHub repo</t>
  </si>
  <si>
    <t xml:space="preserve">Anyone reading the repo</t>
  </si>
  <si>
    <t xml:space="preserve">Binary files not covered by text scans; key IDs decode to the account ID</t>
  </si>
  <si>
    <t xml:space="preserve">History purges (tfplan, run log), account ID placeholders, TruffleHog before publishing</t>
  </si>
  <si>
    <t xml:space="preserve">Fresh-clone scan: no key ID, IP or account ID in any commit</t>
  </si>
  <si>
    <t xml:space="preserve">Unzip-and-grep binaries before each commit</t>
  </si>
  <si>
    <t xml:space="preserve">5.12, 5.13, 8.12</t>
  </si>
  <si>
    <t xml:space="preserve">R16</t>
  </si>
  <si>
    <t xml:space="preserve">Detection slower than data theft</t>
  </si>
  <si>
    <t xml:space="preserve">All scenarios</t>
  </si>
  <si>
    <t xml:space="preserve">Data bucket</t>
  </si>
  <si>
    <t xml:space="preserve">Fast attacker</t>
  </si>
  <si>
    <t xml:space="preserve">CloudTrail delivery takes minutes; exfiltration takes seconds</t>
  </si>
  <si>
    <t xml:space="preserve">Automated containment (5-10 s); preventive controls (KMS, least privilege)</t>
  </si>
  <si>
    <t xml:space="preserve">Data read within seconds of T0 in S1/S2; detection 1-4 min</t>
  </si>
  <si>
    <t xml:space="preserve">Favour preventive controls (account BPA, OIDC, no standing keys)</t>
  </si>
  <si>
    <t xml:space="preserve">8.16, 5.26</t>
  </si>
  <si>
    <t xml:space="preserve">R17</t>
  </si>
  <si>
    <t xml:space="preserve">SIEM single point of failure</t>
  </si>
  <si>
    <t xml:space="preserve">Wazuh VM</t>
  </si>
  <si>
    <t xml:space="preserve">Laptop failure, disk issues</t>
  </si>
  <si>
    <t xml:space="preserve">One all-in-one VM, no HA, no snapshots</t>
  </si>
  <si>
    <t xml:space="preserve">Offline VM backups to external HDD; SQS buffers trail events (4 days)</t>
  </si>
  <si>
    <t xml:space="preserve">VM down → events wait in SQS, no loss</t>
  </si>
  <si>
    <t xml:space="preserve">5.30, 8.13</t>
  </si>
  <si>
    <t xml:space="preserve">Risk register summary</t>
  </si>
  <si>
    <t xml:space="preserve">Inherent</t>
  </si>
  <si>
    <t xml:space="preserve">Residual</t>
  </si>
  <si>
    <t xml:space="preserve">Risks rated High</t>
  </si>
  <si>
    <t xml:space="preserve">Risks rated Medium</t>
  </si>
  <si>
    <t xml:space="preserve">Risks rated Low</t>
  </si>
  <si>
    <t xml:space="preserve">Total risks</t>
  </si>
  <si>
    <t xml:space="preserve">Average score</t>
  </si>
  <si>
    <t xml:space="preserve">Status: Open</t>
  </si>
  <si>
    <t xml:space="preserve">Status: In progress</t>
  </si>
  <si>
    <t xml:space="preserve">Status: Accepted</t>
  </si>
  <si>
    <t xml:space="preserve">Status: Closed</t>
  </si>
  <si>
    <t xml:space="preserve">Method</t>
  </si>
  <si>
    <t xml:space="preserve">Qualitative 5×5 matrix (ISO/IEC 27005 style). Score = Likelihood × Impact.</t>
  </si>
  <si>
    <t xml:space="preserve">Likelihood (L)</t>
  </si>
  <si>
    <t xml:space="preserve">1 rare · 2 unlikely · 3 possible · 4 likely · 5 almost certain (within a year, for a small company running this setup).</t>
  </si>
  <si>
    <t xml:space="preserve">Impact (I)</t>
  </si>
  <si>
    <t xml:space="preserve">1 negligible · 2 minor · 3 moderate · 4 major (PII exposure, account compromise) · 5 severe (full account takeover, large PII breach).</t>
  </si>
  <si>
    <t xml:space="preserve">Levels</t>
  </si>
  <si>
    <t xml:space="preserve">High ≥ 15 · Medium 8–14 · Low ≤ 7.</t>
  </si>
  <si>
    <t xml:space="preserve">Inherent vs residual</t>
  </si>
  <si>
    <t xml:space="preserve">Inherent = before the lab's controls. Residual = with the controls in place, using the measured results from the 2026-10-24 runs as evidence.</t>
  </si>
  <si>
    <t xml:space="preserve">Mitigate (add/strengthen controls) · Accept (documented, owner aware) · Transfer · Avoid.</t>
  </si>
  <si>
    <t xml:space="preserve">Yellow cells</t>
  </si>
  <si>
    <t xml:space="preserve">Inputs to adjust (L, I, residual L/I, status). Scores and levels are formulas.</t>
  </si>
  <si>
    <t xml:space="preserve">Sources</t>
  </si>
  <si>
    <t xml:space="preserve">Incident reports in reports/incidents/, run log reports/timelines.xlsx, Prowler CIS AWS 7.0 scans, kickoff brief.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</si>
</sst>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8" min="7" style="0" width="6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8"/>
    <col collapsed="false" customWidth="true" hidden="false" outlineLevel="0" max="12" min="12" style="0" width="36"/>
    <col collapsed="false" customWidth="true" hidden="false" outlineLevel="0" max="14" min="13" style="0" width="7"/>
    <col collapsed="false" customWidth="true" hidden="false" outlineLevel="0" max="15" min="15" style="0" width="8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36"/>
    <col collapsed="false" customWidth="true" hidden="false" outlineLevel="0" max="19" min="19" style="0" width="9"/>
    <col collapsed="false" customWidth="true" hidden="false" outlineLevel="0" max="20" min="20" style="0" width="10"/>
    <col collapsed="false" customWidth="true" hidden="false" outlineLevel="0" max="21" min="21" style="0" width="11"/>
    <col collapsed="false" customWidth="true" hidden="false" outlineLevel="0" max="22" min="22" style="0" width="16"/>
    <col collapsed="false" customWidth="true" hidden="false" outlineLevel="0" max="23" min="23" style="0" width="14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32.8" hidden="false" customHeight="false" outlineLevel="0" collapsed="false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3" t="n">
        <v>4</v>
      </c>
      <c r="H2" s="3" t="n">
        <v>5</v>
      </c>
      <c r="I2" s="4" t="n">
        <f aca="false">G2*H2</f>
        <v>20</v>
      </c>
      <c r="J2" s="5" t="str">
        <f aca="false">IF(I2&gt;=15,"High",IF(I2&gt;=8,"Medium","Low"))</f>
        <v>High</v>
      </c>
      <c r="K2" s="2" t="s">
        <v>29</v>
      </c>
      <c r="L2" s="2" t="s">
        <v>30</v>
      </c>
      <c r="M2" s="3" t="n">
        <v>2</v>
      </c>
      <c r="N2" s="3" t="n">
        <v>4</v>
      </c>
      <c r="O2" s="4" t="n">
        <f aca="false">M2*N2</f>
        <v>8</v>
      </c>
      <c r="P2" s="5" t="str">
        <f aca="false">IF(O2&gt;=15,"High",IF(O2&gt;=8,"Medium","Low"))</f>
        <v>Medium</v>
      </c>
      <c r="Q2" s="2" t="s">
        <v>31</v>
      </c>
      <c r="R2" s="2" t="s">
        <v>32</v>
      </c>
      <c r="S2" s="2" t="s">
        <v>33</v>
      </c>
      <c r="T2" s="2" t="s">
        <v>34</v>
      </c>
      <c r="U2" s="3" t="s">
        <v>35</v>
      </c>
      <c r="V2" s="2" t="s">
        <v>36</v>
      </c>
      <c r="W2" s="2" t="s">
        <v>37</v>
      </c>
    </row>
    <row r="3" customFormat="false" ht="32.8" hidden="false" customHeight="false" outlineLevel="0" collapsed="false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3" t="n">
        <v>4</v>
      </c>
      <c r="H3" s="3" t="n">
        <v>4</v>
      </c>
      <c r="I3" s="4" t="n">
        <f aca="false">G3*H3</f>
        <v>16</v>
      </c>
      <c r="J3" s="5" t="str">
        <f aca="false">IF(I3&gt;=15,"High",IF(I3&gt;=8,"Medium","Low"))</f>
        <v>High</v>
      </c>
      <c r="K3" s="2" t="s">
        <v>44</v>
      </c>
      <c r="L3" s="2" t="s">
        <v>45</v>
      </c>
      <c r="M3" s="3" t="n">
        <v>3</v>
      </c>
      <c r="N3" s="3" t="n">
        <v>3</v>
      </c>
      <c r="O3" s="4" t="n">
        <f aca="false">M3*N3</f>
        <v>9</v>
      </c>
      <c r="P3" s="5" t="str">
        <f aca="false">IF(O3&gt;=15,"High",IF(O3&gt;=8,"Medium","Low"))</f>
        <v>Medium</v>
      </c>
      <c r="Q3" s="2" t="s">
        <v>31</v>
      </c>
      <c r="R3" s="2" t="s">
        <v>46</v>
      </c>
      <c r="S3" s="2" t="s">
        <v>33</v>
      </c>
      <c r="T3" s="2" t="s">
        <v>47</v>
      </c>
      <c r="U3" s="3" t="s">
        <v>48</v>
      </c>
      <c r="V3" s="2" t="s">
        <v>49</v>
      </c>
      <c r="W3" s="2" t="s">
        <v>50</v>
      </c>
    </row>
    <row r="4" customFormat="false" ht="22.35" hidden="false" customHeight="false" outlineLevel="0" collapsed="false">
      <c r="A4" s="2" t="s">
        <v>51</v>
      </c>
      <c r="B4" s="2" t="s">
        <v>52</v>
      </c>
      <c r="C4" s="2" t="s">
        <v>40</v>
      </c>
      <c r="D4" s="2" t="s">
        <v>53</v>
      </c>
      <c r="E4" s="2" t="s">
        <v>54</v>
      </c>
      <c r="F4" s="2" t="s">
        <v>55</v>
      </c>
      <c r="G4" s="3" t="n">
        <v>3</v>
      </c>
      <c r="H4" s="3" t="n">
        <v>4</v>
      </c>
      <c r="I4" s="4" t="n">
        <f aca="false">G4*H4</f>
        <v>12</v>
      </c>
      <c r="J4" s="5" t="str">
        <f aca="false">IF(I4&gt;=15,"High",IF(I4&gt;=8,"Medium","Low"))</f>
        <v>Medium</v>
      </c>
      <c r="K4" s="2" t="s">
        <v>56</v>
      </c>
      <c r="L4" s="2" t="s">
        <v>57</v>
      </c>
      <c r="M4" s="3" t="n">
        <v>2</v>
      </c>
      <c r="N4" s="3" t="n">
        <v>3</v>
      </c>
      <c r="O4" s="4" t="n">
        <f aca="false">M4*N4</f>
        <v>6</v>
      </c>
      <c r="P4" s="5" t="str">
        <f aca="false">IF(O4&gt;=15,"High",IF(O4&gt;=8,"Medium","Low"))</f>
        <v>Low</v>
      </c>
      <c r="Q4" s="2" t="s">
        <v>31</v>
      </c>
      <c r="R4" s="2" t="s">
        <v>58</v>
      </c>
      <c r="S4" s="2" t="s">
        <v>33</v>
      </c>
      <c r="T4" s="2" t="s">
        <v>47</v>
      </c>
      <c r="U4" s="3" t="s">
        <v>48</v>
      </c>
      <c r="V4" s="2" t="s">
        <v>59</v>
      </c>
      <c r="W4" s="2" t="s">
        <v>50</v>
      </c>
    </row>
    <row r="5" customFormat="false" ht="32.8" hidden="false" customHeight="false" outlineLevel="0" collapsed="false">
      <c r="A5" s="2" t="s">
        <v>60</v>
      </c>
      <c r="B5" s="2" t="s">
        <v>61</v>
      </c>
      <c r="C5" s="2" t="s">
        <v>62</v>
      </c>
      <c r="D5" s="2" t="s">
        <v>63</v>
      </c>
      <c r="E5" s="2" t="s">
        <v>64</v>
      </c>
      <c r="F5" s="2" t="s">
        <v>65</v>
      </c>
      <c r="G5" s="3" t="n">
        <v>4</v>
      </c>
      <c r="H5" s="3" t="n">
        <v>4</v>
      </c>
      <c r="I5" s="4" t="n">
        <f aca="false">G5*H5</f>
        <v>16</v>
      </c>
      <c r="J5" s="5" t="str">
        <f aca="false">IF(I5&gt;=15,"High",IF(I5&gt;=8,"Medium","Low"))</f>
        <v>High</v>
      </c>
      <c r="K5" s="2" t="s">
        <v>66</v>
      </c>
      <c r="L5" s="2" t="s">
        <v>67</v>
      </c>
      <c r="M5" s="3" t="n">
        <v>2</v>
      </c>
      <c r="N5" s="3" t="n">
        <v>2</v>
      </c>
      <c r="O5" s="4" t="n">
        <f aca="false">M5*N5</f>
        <v>4</v>
      </c>
      <c r="P5" s="5" t="str">
        <f aca="false">IF(O5&gt;=15,"High",IF(O5&gt;=8,"Medium","Low"))</f>
        <v>Low</v>
      </c>
      <c r="Q5" s="2" t="s">
        <v>31</v>
      </c>
      <c r="R5" s="2" t="s">
        <v>68</v>
      </c>
      <c r="S5" s="2" t="s">
        <v>33</v>
      </c>
      <c r="T5" s="2" t="s">
        <v>34</v>
      </c>
      <c r="U5" s="3" t="s">
        <v>35</v>
      </c>
      <c r="V5" s="2" t="s">
        <v>69</v>
      </c>
      <c r="W5" s="2" t="s">
        <v>70</v>
      </c>
    </row>
    <row r="6" customFormat="false" ht="32.8" hidden="false" customHeight="false" outlineLevel="0" collapsed="false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3" t="n">
        <v>3</v>
      </c>
      <c r="H6" s="3" t="n">
        <v>4</v>
      </c>
      <c r="I6" s="4" t="n">
        <f aca="false">G6*H6</f>
        <v>12</v>
      </c>
      <c r="J6" s="5" t="str">
        <f aca="false">IF(I6&gt;=15,"High",IF(I6&gt;=8,"Medium","Low"))</f>
        <v>Medium</v>
      </c>
      <c r="K6" s="2" t="s">
        <v>77</v>
      </c>
      <c r="L6" s="2" t="s">
        <v>78</v>
      </c>
      <c r="M6" s="3" t="n">
        <v>1</v>
      </c>
      <c r="N6" s="3" t="n">
        <v>4</v>
      </c>
      <c r="O6" s="4" t="n">
        <f aca="false">M6*N6</f>
        <v>4</v>
      </c>
      <c r="P6" s="5" t="str">
        <f aca="false">IF(O6&gt;=15,"High",IF(O6&gt;=8,"Medium","Low"))</f>
        <v>Low</v>
      </c>
      <c r="Q6" s="2" t="s">
        <v>31</v>
      </c>
      <c r="R6" s="2" t="s">
        <v>79</v>
      </c>
      <c r="S6" s="2" t="s">
        <v>33</v>
      </c>
      <c r="T6" s="2" t="s">
        <v>34</v>
      </c>
      <c r="U6" s="3" t="s">
        <v>35</v>
      </c>
      <c r="V6" s="2" t="s">
        <v>80</v>
      </c>
      <c r="W6" s="2" t="s">
        <v>70</v>
      </c>
    </row>
    <row r="7" customFormat="false" ht="32.8" hidden="false" customHeight="false" outlineLevel="0" collapsed="false">
      <c r="A7" s="2" t="s">
        <v>81</v>
      </c>
      <c r="B7" s="2" t="s">
        <v>82</v>
      </c>
      <c r="C7" s="2" t="s">
        <v>83</v>
      </c>
      <c r="D7" s="2" t="s">
        <v>84</v>
      </c>
      <c r="E7" s="2" t="s">
        <v>85</v>
      </c>
      <c r="F7" s="2" t="s">
        <v>86</v>
      </c>
      <c r="G7" s="3" t="n">
        <v>3</v>
      </c>
      <c r="H7" s="3" t="n">
        <v>4</v>
      </c>
      <c r="I7" s="4" t="n">
        <f aca="false">G7*H7</f>
        <v>12</v>
      </c>
      <c r="J7" s="5" t="str">
        <f aca="false">IF(I7&gt;=15,"High",IF(I7&gt;=8,"Medium","Low"))</f>
        <v>Medium</v>
      </c>
      <c r="K7" s="2" t="s">
        <v>87</v>
      </c>
      <c r="L7" s="2" t="s">
        <v>88</v>
      </c>
      <c r="M7" s="3" t="n">
        <v>2</v>
      </c>
      <c r="N7" s="3" t="n">
        <v>3</v>
      </c>
      <c r="O7" s="4" t="n">
        <f aca="false">M7*N7</f>
        <v>6</v>
      </c>
      <c r="P7" s="5" t="str">
        <f aca="false">IF(O7&gt;=15,"High",IF(O7&gt;=8,"Medium","Low"))</f>
        <v>Low</v>
      </c>
      <c r="Q7" s="2" t="s">
        <v>31</v>
      </c>
      <c r="R7" s="2" t="s">
        <v>89</v>
      </c>
      <c r="S7" s="2" t="s">
        <v>33</v>
      </c>
      <c r="T7" s="2" t="s">
        <v>90</v>
      </c>
      <c r="U7" s="3" t="s">
        <v>48</v>
      </c>
      <c r="V7" s="2" t="s">
        <v>91</v>
      </c>
      <c r="W7" s="2" t="s">
        <v>92</v>
      </c>
    </row>
    <row r="8" customFormat="false" ht="32.8" hidden="false" customHeight="false" outlineLevel="0" collapsed="false">
      <c r="A8" s="2" t="s">
        <v>93</v>
      </c>
      <c r="B8" s="2" t="s">
        <v>94</v>
      </c>
      <c r="C8" s="2" t="s">
        <v>95</v>
      </c>
      <c r="D8" s="2" t="s">
        <v>96</v>
      </c>
      <c r="E8" s="2" t="s">
        <v>97</v>
      </c>
      <c r="F8" s="2" t="s">
        <v>98</v>
      </c>
      <c r="G8" s="3" t="n">
        <v>4</v>
      </c>
      <c r="H8" s="3" t="n">
        <v>4</v>
      </c>
      <c r="I8" s="4" t="n">
        <f aca="false">G8*H8</f>
        <v>16</v>
      </c>
      <c r="J8" s="5" t="str">
        <f aca="false">IF(I8&gt;=15,"High",IF(I8&gt;=8,"Medium","Low"))</f>
        <v>High</v>
      </c>
      <c r="K8" s="2" t="s">
        <v>99</v>
      </c>
      <c r="L8" s="2" t="s">
        <v>100</v>
      </c>
      <c r="M8" s="3" t="n">
        <v>2</v>
      </c>
      <c r="N8" s="3" t="n">
        <v>3</v>
      </c>
      <c r="O8" s="4" t="n">
        <f aca="false">M8*N8</f>
        <v>6</v>
      </c>
      <c r="P8" s="5" t="str">
        <f aca="false">IF(O8&gt;=15,"High",IF(O8&gt;=8,"Medium","Low"))</f>
        <v>Low</v>
      </c>
      <c r="Q8" s="2" t="s">
        <v>101</v>
      </c>
      <c r="R8" s="2" t="s">
        <v>102</v>
      </c>
      <c r="S8" s="2" t="s">
        <v>33</v>
      </c>
      <c r="T8" s="2" t="s">
        <v>103</v>
      </c>
      <c r="U8" s="3" t="s">
        <v>104</v>
      </c>
      <c r="V8" s="2" t="s">
        <v>105</v>
      </c>
      <c r="W8" s="2" t="s">
        <v>106</v>
      </c>
    </row>
    <row r="9" customFormat="false" ht="32.8" hidden="false" customHeight="false" outlineLevel="0" collapsed="false">
      <c r="A9" s="2" t="s">
        <v>107</v>
      </c>
      <c r="B9" s="2" t="s">
        <v>108</v>
      </c>
      <c r="C9" s="2" t="s">
        <v>109</v>
      </c>
      <c r="D9" s="2" t="s">
        <v>96</v>
      </c>
      <c r="E9" s="2" t="s">
        <v>110</v>
      </c>
      <c r="F9" s="2" t="s">
        <v>111</v>
      </c>
      <c r="G9" s="3" t="n">
        <v>4</v>
      </c>
      <c r="H9" s="3" t="n">
        <v>4</v>
      </c>
      <c r="I9" s="4" t="n">
        <f aca="false">G9*H9</f>
        <v>16</v>
      </c>
      <c r="J9" s="5" t="str">
        <f aca="false">IF(I9&gt;=15,"High",IF(I9&gt;=8,"Medium","Low"))</f>
        <v>High</v>
      </c>
      <c r="K9" s="2" t="s">
        <v>112</v>
      </c>
      <c r="L9" s="2" t="s">
        <v>113</v>
      </c>
      <c r="M9" s="3" t="n">
        <v>1</v>
      </c>
      <c r="N9" s="3" t="n">
        <v>3</v>
      </c>
      <c r="O9" s="4" t="n">
        <f aca="false">M9*N9</f>
        <v>3</v>
      </c>
      <c r="P9" s="5" t="str">
        <f aca="false">IF(O9&gt;=15,"High",IF(O9&gt;=8,"Medium","Low"))</f>
        <v>Low</v>
      </c>
      <c r="Q9" s="2" t="s">
        <v>31</v>
      </c>
      <c r="R9" s="2" t="s">
        <v>103</v>
      </c>
      <c r="S9" s="2" t="s">
        <v>33</v>
      </c>
      <c r="T9" s="2" t="s">
        <v>114</v>
      </c>
      <c r="U9" s="3" t="s">
        <v>35</v>
      </c>
      <c r="V9" s="2" t="s">
        <v>105</v>
      </c>
      <c r="W9" s="2" t="s">
        <v>106</v>
      </c>
    </row>
    <row r="10" customFormat="false" ht="32.8" hidden="false" customHeight="false" outlineLevel="0" collapsed="false">
      <c r="A10" s="2" t="s">
        <v>115</v>
      </c>
      <c r="B10" s="2" t="s">
        <v>116</v>
      </c>
      <c r="C10" s="2" t="s">
        <v>117</v>
      </c>
      <c r="D10" s="2" t="s">
        <v>118</v>
      </c>
      <c r="E10" s="2" t="s">
        <v>119</v>
      </c>
      <c r="F10" s="2" t="s">
        <v>120</v>
      </c>
      <c r="G10" s="3" t="n">
        <v>2</v>
      </c>
      <c r="H10" s="3" t="n">
        <v>3</v>
      </c>
      <c r="I10" s="4" t="n">
        <f aca="false">G10*H10</f>
        <v>6</v>
      </c>
      <c r="J10" s="5" t="str">
        <f aca="false">IF(I10&gt;=15,"High",IF(I10&gt;=8,"Medium","Low"))</f>
        <v>Low</v>
      </c>
      <c r="K10" s="2" t="s">
        <v>121</v>
      </c>
      <c r="L10" s="2" t="s">
        <v>103</v>
      </c>
      <c r="M10" s="3" t="n">
        <v>2</v>
      </c>
      <c r="N10" s="3" t="n">
        <v>2</v>
      </c>
      <c r="O10" s="4" t="n">
        <f aca="false">M10*N10</f>
        <v>4</v>
      </c>
      <c r="P10" s="5" t="str">
        <f aca="false">IF(O10&gt;=15,"High",IF(O10&gt;=8,"Medium","Low"))</f>
        <v>Low</v>
      </c>
      <c r="Q10" s="2" t="s">
        <v>122</v>
      </c>
      <c r="R10" s="2" t="s">
        <v>123</v>
      </c>
      <c r="S10" s="2" t="s">
        <v>33</v>
      </c>
      <c r="T10" s="2" t="s">
        <v>103</v>
      </c>
      <c r="U10" s="3" t="s">
        <v>104</v>
      </c>
      <c r="V10" s="2" t="s">
        <v>105</v>
      </c>
      <c r="W10" s="2" t="s">
        <v>106</v>
      </c>
    </row>
    <row r="11" customFormat="false" ht="32.8" hidden="false" customHeight="false" outlineLevel="0" collapsed="false">
      <c r="A11" s="2" t="s">
        <v>124</v>
      </c>
      <c r="B11" s="2" t="s">
        <v>125</v>
      </c>
      <c r="C11" s="2" t="s">
        <v>126</v>
      </c>
      <c r="D11" s="2" t="s">
        <v>127</v>
      </c>
      <c r="E11" s="2" t="s">
        <v>128</v>
      </c>
      <c r="F11" s="2" t="s">
        <v>129</v>
      </c>
      <c r="G11" s="3" t="n">
        <v>3</v>
      </c>
      <c r="H11" s="3" t="n">
        <v>5</v>
      </c>
      <c r="I11" s="4" t="n">
        <f aca="false">G11*H11</f>
        <v>15</v>
      </c>
      <c r="J11" s="5" t="str">
        <f aca="false">IF(I11&gt;=15,"High",IF(I11&gt;=8,"Medium","Low"))</f>
        <v>High</v>
      </c>
      <c r="K11" s="2" t="s">
        <v>130</v>
      </c>
      <c r="L11" s="2" t="s">
        <v>131</v>
      </c>
      <c r="M11" s="3" t="n">
        <v>2</v>
      </c>
      <c r="N11" s="3" t="n">
        <v>5</v>
      </c>
      <c r="O11" s="4" t="n">
        <f aca="false">M11*N11</f>
        <v>10</v>
      </c>
      <c r="P11" s="5" t="str">
        <f aca="false">IF(O11&gt;=15,"High",IF(O11&gt;=8,"Medium","Low"))</f>
        <v>Medium</v>
      </c>
      <c r="Q11" s="2" t="s">
        <v>132</v>
      </c>
      <c r="R11" s="2" t="s">
        <v>133</v>
      </c>
      <c r="S11" s="2" t="s">
        <v>33</v>
      </c>
      <c r="T11" s="2" t="s">
        <v>134</v>
      </c>
      <c r="U11" s="3" t="s">
        <v>104</v>
      </c>
      <c r="V11" s="2" t="s">
        <v>135</v>
      </c>
      <c r="W11" s="2" t="s">
        <v>50</v>
      </c>
    </row>
    <row r="12" customFormat="false" ht="22.35" hidden="false" customHeight="false" outlineLevel="0" collapsed="false">
      <c r="A12" s="2" t="s">
        <v>136</v>
      </c>
      <c r="B12" s="2" t="s">
        <v>137</v>
      </c>
      <c r="C12" s="2" t="s">
        <v>138</v>
      </c>
      <c r="D12" s="2" t="s">
        <v>139</v>
      </c>
      <c r="E12" s="2" t="s">
        <v>140</v>
      </c>
      <c r="F12" s="2" t="s">
        <v>141</v>
      </c>
      <c r="G12" s="3" t="n">
        <v>2</v>
      </c>
      <c r="H12" s="3" t="n">
        <v>3</v>
      </c>
      <c r="I12" s="4" t="n">
        <f aca="false">G12*H12</f>
        <v>6</v>
      </c>
      <c r="J12" s="5" t="str">
        <f aca="false">IF(I12&gt;=15,"High",IF(I12&gt;=8,"Medium","Low"))</f>
        <v>Low</v>
      </c>
      <c r="K12" s="2" t="s">
        <v>142</v>
      </c>
      <c r="L12" s="2" t="s">
        <v>143</v>
      </c>
      <c r="M12" s="3" t="n">
        <v>2</v>
      </c>
      <c r="N12" s="3" t="n">
        <v>3</v>
      </c>
      <c r="O12" s="4" t="n">
        <f aca="false">M12*N12</f>
        <v>6</v>
      </c>
      <c r="P12" s="5" t="str">
        <f aca="false">IF(O12&gt;=15,"High",IF(O12&gt;=8,"Medium","Low"))</f>
        <v>Low</v>
      </c>
      <c r="Q12" s="2" t="s">
        <v>132</v>
      </c>
      <c r="R12" s="2" t="s">
        <v>144</v>
      </c>
      <c r="S12" s="2" t="s">
        <v>33</v>
      </c>
      <c r="T12" s="2" t="s">
        <v>134</v>
      </c>
      <c r="U12" s="3" t="s">
        <v>104</v>
      </c>
      <c r="V12" s="2" t="s">
        <v>145</v>
      </c>
      <c r="W12" s="2" t="s">
        <v>103</v>
      </c>
    </row>
    <row r="13" customFormat="false" ht="22.35" hidden="false" customHeight="false" outlineLevel="0" collapsed="false">
      <c r="A13" s="2" t="s">
        <v>146</v>
      </c>
      <c r="B13" s="2" t="s">
        <v>147</v>
      </c>
      <c r="C13" s="2" t="s">
        <v>117</v>
      </c>
      <c r="D13" s="2" t="s">
        <v>148</v>
      </c>
      <c r="E13" s="2" t="s">
        <v>149</v>
      </c>
      <c r="F13" s="2" t="s">
        <v>150</v>
      </c>
      <c r="G13" s="3" t="n">
        <v>2</v>
      </c>
      <c r="H13" s="3" t="n">
        <v>4</v>
      </c>
      <c r="I13" s="4" t="n">
        <f aca="false">G13*H13</f>
        <v>8</v>
      </c>
      <c r="J13" s="5" t="str">
        <f aca="false">IF(I13&gt;=15,"High",IF(I13&gt;=8,"Medium","Low"))</f>
        <v>Medium</v>
      </c>
      <c r="K13" s="2" t="s">
        <v>151</v>
      </c>
      <c r="L13" s="2" t="s">
        <v>103</v>
      </c>
      <c r="M13" s="3" t="n">
        <v>2</v>
      </c>
      <c r="N13" s="3" t="n">
        <v>3</v>
      </c>
      <c r="O13" s="4" t="n">
        <f aca="false">M13*N13</f>
        <v>6</v>
      </c>
      <c r="P13" s="5" t="str">
        <f aca="false">IF(O13&gt;=15,"High",IF(O13&gt;=8,"Medium","Low"))</f>
        <v>Low</v>
      </c>
      <c r="Q13" s="2" t="s">
        <v>31</v>
      </c>
      <c r="R13" s="2" t="s">
        <v>152</v>
      </c>
      <c r="S13" s="2" t="s">
        <v>33</v>
      </c>
      <c r="T13" s="2" t="s">
        <v>90</v>
      </c>
      <c r="U13" s="3" t="s">
        <v>48</v>
      </c>
      <c r="V13" s="2" t="s">
        <v>153</v>
      </c>
      <c r="W13" s="2" t="s">
        <v>103</v>
      </c>
    </row>
    <row r="14" customFormat="false" ht="22.35" hidden="false" customHeight="false" outlineLevel="0" collapsed="false">
      <c r="A14" s="2" t="s">
        <v>154</v>
      </c>
      <c r="B14" s="2" t="s">
        <v>155</v>
      </c>
      <c r="C14" s="2" t="s">
        <v>156</v>
      </c>
      <c r="D14" s="2" t="s">
        <v>157</v>
      </c>
      <c r="E14" s="2" t="s">
        <v>103</v>
      </c>
      <c r="F14" s="2" t="s">
        <v>158</v>
      </c>
      <c r="G14" s="3" t="n">
        <v>4</v>
      </c>
      <c r="H14" s="3" t="n">
        <v>2</v>
      </c>
      <c r="I14" s="4" t="n">
        <f aca="false">G14*H14</f>
        <v>8</v>
      </c>
      <c r="J14" s="5" t="str">
        <f aca="false">IF(I14&gt;=15,"High",IF(I14&gt;=8,"Medium","Low"))</f>
        <v>Medium</v>
      </c>
      <c r="K14" s="2" t="s">
        <v>159</v>
      </c>
      <c r="L14" s="2" t="s">
        <v>160</v>
      </c>
      <c r="M14" s="3" t="n">
        <v>3</v>
      </c>
      <c r="N14" s="3" t="n">
        <v>1</v>
      </c>
      <c r="O14" s="4" t="n">
        <f aca="false">M14*N14</f>
        <v>3</v>
      </c>
      <c r="P14" s="5" t="str">
        <f aca="false">IF(O14&gt;=15,"High",IF(O14&gt;=8,"Medium","Low"))</f>
        <v>Low</v>
      </c>
      <c r="Q14" s="2" t="s">
        <v>122</v>
      </c>
      <c r="R14" s="2" t="s">
        <v>161</v>
      </c>
      <c r="S14" s="2" t="s">
        <v>33</v>
      </c>
      <c r="T14" s="2" t="s">
        <v>103</v>
      </c>
      <c r="U14" s="3" t="s">
        <v>104</v>
      </c>
      <c r="V14" s="2" t="s">
        <v>162</v>
      </c>
      <c r="W14" s="2" t="s">
        <v>103</v>
      </c>
    </row>
    <row r="15" customFormat="false" ht="32.8" hidden="false" customHeight="false" outlineLevel="0" collapsed="false">
      <c r="A15" s="2" t="s">
        <v>163</v>
      </c>
      <c r="B15" s="2" t="s">
        <v>164</v>
      </c>
      <c r="C15" s="2" t="s">
        <v>165</v>
      </c>
      <c r="D15" s="2" t="s">
        <v>118</v>
      </c>
      <c r="E15" s="2" t="s">
        <v>166</v>
      </c>
      <c r="F15" s="2" t="s">
        <v>167</v>
      </c>
      <c r="G15" s="3" t="n">
        <v>4</v>
      </c>
      <c r="H15" s="3" t="n">
        <v>3</v>
      </c>
      <c r="I15" s="4" t="n">
        <f aca="false">G15*H15</f>
        <v>12</v>
      </c>
      <c r="J15" s="5" t="str">
        <f aca="false">IF(I15&gt;=15,"High",IF(I15&gt;=8,"Medium","Low"))</f>
        <v>Medium</v>
      </c>
      <c r="K15" s="2" t="s">
        <v>168</v>
      </c>
      <c r="L15" s="2" t="s">
        <v>169</v>
      </c>
      <c r="M15" s="3" t="n">
        <v>3</v>
      </c>
      <c r="N15" s="3" t="n">
        <v>2</v>
      </c>
      <c r="O15" s="4" t="n">
        <f aca="false">M15*N15</f>
        <v>6</v>
      </c>
      <c r="P15" s="5" t="str">
        <f aca="false">IF(O15&gt;=15,"High",IF(O15&gt;=8,"Medium","Low"))</f>
        <v>Low</v>
      </c>
      <c r="Q15" s="2" t="s">
        <v>101</v>
      </c>
      <c r="R15" s="2" t="s">
        <v>170</v>
      </c>
      <c r="S15" s="2" t="s">
        <v>33</v>
      </c>
      <c r="T15" s="2" t="s">
        <v>103</v>
      </c>
      <c r="U15" s="3" t="s">
        <v>104</v>
      </c>
      <c r="V15" s="2" t="s">
        <v>171</v>
      </c>
      <c r="W15" s="2" t="s">
        <v>92</v>
      </c>
    </row>
    <row r="16" customFormat="false" ht="32.8" hidden="false" customHeight="false" outlineLevel="0" collapsed="false">
      <c r="A16" s="2" t="s">
        <v>172</v>
      </c>
      <c r="B16" s="2" t="s">
        <v>173</v>
      </c>
      <c r="C16" s="2" t="s">
        <v>174</v>
      </c>
      <c r="D16" s="2" t="s">
        <v>175</v>
      </c>
      <c r="E16" s="2" t="s">
        <v>176</v>
      </c>
      <c r="F16" s="2" t="s">
        <v>177</v>
      </c>
      <c r="G16" s="3" t="n">
        <v>3</v>
      </c>
      <c r="H16" s="3" t="n">
        <v>3</v>
      </c>
      <c r="I16" s="4" t="n">
        <f aca="false">G16*H16</f>
        <v>9</v>
      </c>
      <c r="J16" s="5" t="str">
        <f aca="false">IF(I16&gt;=15,"High",IF(I16&gt;=8,"Medium","Low"))</f>
        <v>Medium</v>
      </c>
      <c r="K16" s="2" t="s">
        <v>178</v>
      </c>
      <c r="L16" s="2" t="s">
        <v>179</v>
      </c>
      <c r="M16" s="3" t="n">
        <v>1</v>
      </c>
      <c r="N16" s="3" t="n">
        <v>2</v>
      </c>
      <c r="O16" s="4" t="n">
        <f aca="false">M16*N16</f>
        <v>2</v>
      </c>
      <c r="P16" s="5" t="str">
        <f aca="false">IF(O16&gt;=15,"High",IF(O16&gt;=8,"Medium","Low"))</f>
        <v>Low</v>
      </c>
      <c r="Q16" s="2" t="s">
        <v>31</v>
      </c>
      <c r="R16" s="2" t="s">
        <v>180</v>
      </c>
      <c r="S16" s="2" t="s">
        <v>33</v>
      </c>
      <c r="T16" s="2" t="s">
        <v>114</v>
      </c>
      <c r="U16" s="3" t="s">
        <v>35</v>
      </c>
      <c r="V16" s="2" t="s">
        <v>181</v>
      </c>
      <c r="W16" s="2" t="s">
        <v>103</v>
      </c>
    </row>
    <row r="17" customFormat="false" ht="22.35" hidden="false" customHeight="false" outlineLevel="0" collapsed="false">
      <c r="A17" s="2" t="s">
        <v>182</v>
      </c>
      <c r="B17" s="2" t="s">
        <v>183</v>
      </c>
      <c r="C17" s="2" t="s">
        <v>184</v>
      </c>
      <c r="D17" s="2" t="s">
        <v>185</v>
      </c>
      <c r="E17" s="2" t="s">
        <v>186</v>
      </c>
      <c r="F17" s="2" t="s">
        <v>187</v>
      </c>
      <c r="G17" s="3" t="n">
        <v>4</v>
      </c>
      <c r="H17" s="3" t="n">
        <v>4</v>
      </c>
      <c r="I17" s="4" t="n">
        <f aca="false">G17*H17</f>
        <v>16</v>
      </c>
      <c r="J17" s="5" t="str">
        <f aca="false">IF(I17&gt;=15,"High",IF(I17&gt;=8,"Medium","Low"))</f>
        <v>High</v>
      </c>
      <c r="K17" s="2" t="s">
        <v>188</v>
      </c>
      <c r="L17" s="2" t="s">
        <v>189</v>
      </c>
      <c r="M17" s="3" t="n">
        <v>3</v>
      </c>
      <c r="N17" s="3" t="n">
        <v>3</v>
      </c>
      <c r="O17" s="4" t="n">
        <f aca="false">M17*N17</f>
        <v>9</v>
      </c>
      <c r="P17" s="5" t="str">
        <f aca="false">IF(O17&gt;=15,"High",IF(O17&gt;=8,"Medium","Low"))</f>
        <v>Medium</v>
      </c>
      <c r="Q17" s="2" t="s">
        <v>31</v>
      </c>
      <c r="R17" s="2" t="s">
        <v>190</v>
      </c>
      <c r="S17" s="2" t="s">
        <v>33</v>
      </c>
      <c r="T17" s="2" t="s">
        <v>90</v>
      </c>
      <c r="U17" s="3" t="s">
        <v>48</v>
      </c>
      <c r="V17" s="2" t="s">
        <v>191</v>
      </c>
      <c r="W17" s="2" t="s">
        <v>92</v>
      </c>
    </row>
    <row r="18" customFormat="false" ht="22.35" hidden="false" customHeight="false" outlineLevel="0" collapsed="false">
      <c r="A18" s="2" t="s">
        <v>192</v>
      </c>
      <c r="B18" s="2" t="s">
        <v>193</v>
      </c>
      <c r="C18" s="2" t="s">
        <v>117</v>
      </c>
      <c r="D18" s="2" t="s">
        <v>194</v>
      </c>
      <c r="E18" s="2" t="s">
        <v>195</v>
      </c>
      <c r="F18" s="2" t="s">
        <v>196</v>
      </c>
      <c r="G18" s="3" t="n">
        <v>3</v>
      </c>
      <c r="H18" s="3" t="n">
        <v>3</v>
      </c>
      <c r="I18" s="4" t="n">
        <f aca="false">G18*H18</f>
        <v>9</v>
      </c>
      <c r="J18" s="5" t="str">
        <f aca="false">IF(I18&gt;=15,"High",IF(I18&gt;=8,"Medium","Low"))</f>
        <v>Medium</v>
      </c>
      <c r="K18" s="2" t="s">
        <v>197</v>
      </c>
      <c r="L18" s="2" t="s">
        <v>198</v>
      </c>
      <c r="M18" s="3" t="n">
        <v>2</v>
      </c>
      <c r="N18" s="3" t="n">
        <v>3</v>
      </c>
      <c r="O18" s="4" t="n">
        <f aca="false">M18*N18</f>
        <v>6</v>
      </c>
      <c r="P18" s="5" t="str">
        <f aca="false">IF(O18&gt;=15,"High",IF(O18&gt;=8,"Medium","Low"))</f>
        <v>Low</v>
      </c>
      <c r="Q18" s="2" t="s">
        <v>122</v>
      </c>
      <c r="R18" s="2" t="s">
        <v>103</v>
      </c>
      <c r="S18" s="2" t="s">
        <v>33</v>
      </c>
      <c r="T18" s="2" t="s">
        <v>103</v>
      </c>
      <c r="U18" s="3" t="s">
        <v>104</v>
      </c>
      <c r="V18" s="2" t="s">
        <v>199</v>
      </c>
      <c r="W18" s="2" t="s">
        <v>103</v>
      </c>
    </row>
  </sheetData>
  <autoFilter ref="A1:W18"/>
  <conditionalFormatting sqref="J2:J18">
    <cfRule type="cellIs" priority="2" operator="equal" aboveAverage="0" equalAverage="0" bottom="0" percent="0" rank="0" text="" dxfId="7">
      <formula>"High"</formula>
    </cfRule>
    <cfRule type="cellIs" priority="3" operator="equal" aboveAverage="0" equalAverage="0" bottom="0" percent="0" rank="0" text="" dxfId="8">
      <formula>"Medium"</formula>
    </cfRule>
    <cfRule type="cellIs" priority="4" operator="equal" aboveAverage="0" equalAverage="0" bottom="0" percent="0" rank="0" text="" dxfId="9">
      <formula>"Low"</formula>
    </cfRule>
  </conditionalFormatting>
  <conditionalFormatting sqref="P2:P18">
    <cfRule type="cellIs" priority="5" operator="equal" aboveAverage="0" equalAverage="0" bottom="0" percent="0" rank="0" text="" dxfId="7">
      <formula>"High"</formula>
    </cfRule>
    <cfRule type="cellIs" priority="6" operator="equal" aboveAverage="0" equalAverage="0" bottom="0" percent="0" rank="0" text="" dxfId="8">
      <formula>"Medium"</formula>
    </cfRule>
    <cfRule type="cellIs" priority="7" operator="equal" aboveAverage="0" equalAverage="0" bottom="0" percent="0" rank="0" text="" dxfId="9">
      <formula>"Low"</formula>
    </cfRule>
  </conditionalFormatting>
  <dataValidations count="2">
    <dataValidation allowBlank="false" errorStyle="stop" operator="between" showDropDown="false" showErrorMessage="false" showInputMessage="false" sqref="G2:H100 M2:N100" type="whole">
      <formula1>1</formula1>
      <formula2>5</formula2>
    </dataValidation>
    <dataValidation allowBlank="false" errorStyle="stop" operator="between" showDropDown="false" showErrorMessage="false" showInputMessage="false" sqref="U2:U100" type="list">
      <formula1>"Open,In progress,Accepted,Closed"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6" t="s">
        <v>200</v>
      </c>
    </row>
    <row r="3" customFormat="false" ht="15" hidden="false" customHeight="false" outlineLevel="0" collapsed="false">
      <c r="B3" s="7" t="s">
        <v>201</v>
      </c>
      <c r="C3" s="7" t="s">
        <v>202</v>
      </c>
    </row>
    <row r="4" customFormat="false" ht="15" hidden="false" customHeight="false" outlineLevel="0" collapsed="false">
      <c r="A4" s="8" t="s">
        <v>203</v>
      </c>
      <c r="B4" s="8" t="n">
        <f aca="false">COUNTIF('Risk register'!J2:J18,"High")</f>
        <v>7</v>
      </c>
      <c r="C4" s="8" t="n">
        <f aca="false">COUNTIF('Risk register'!P2:P18,"High")</f>
        <v>0</v>
      </c>
    </row>
    <row r="5" customFormat="false" ht="15" hidden="false" customHeight="false" outlineLevel="0" collapsed="false">
      <c r="A5" s="8" t="s">
        <v>204</v>
      </c>
      <c r="B5" s="8" t="n">
        <f aca="false">COUNTIF('Risk register'!J2:J18,"Medium")</f>
        <v>8</v>
      </c>
      <c r="C5" s="8" t="n">
        <f aca="false">COUNTIF('Risk register'!P2:P18,"Medium")</f>
        <v>4</v>
      </c>
    </row>
    <row r="6" customFormat="false" ht="15" hidden="false" customHeight="false" outlineLevel="0" collapsed="false">
      <c r="A6" s="8" t="s">
        <v>205</v>
      </c>
      <c r="B6" s="8" t="n">
        <f aca="false">COUNTIF('Risk register'!J2:J18,"Low")</f>
        <v>2</v>
      </c>
      <c r="C6" s="8" t="n">
        <f aca="false">COUNTIF('Risk register'!P2:P18,"Low")</f>
        <v>13</v>
      </c>
    </row>
    <row r="7" customFormat="false" ht="15" hidden="false" customHeight="false" outlineLevel="0" collapsed="false">
      <c r="A7" s="7" t="s">
        <v>206</v>
      </c>
      <c r="B7" s="7" t="n">
        <f aca="false">COUNTA('Risk register'!A2:A18)</f>
        <v>17</v>
      </c>
    </row>
    <row r="9" customFormat="false" ht="15" hidden="false" customHeight="false" outlineLevel="0" collapsed="false">
      <c r="A9" s="8" t="s">
        <v>207</v>
      </c>
      <c r="B9" s="8" t="n">
        <f aca="false">ROUND(AVERAGE('Risk register'!I2:I18),1)</f>
        <v>12.3</v>
      </c>
      <c r="C9" s="8" t="n">
        <f aca="false">ROUND(AVERAGE('Risk register'!O2:O18),1)</f>
        <v>5.8</v>
      </c>
    </row>
    <row r="11" customFormat="false" ht="15" hidden="false" customHeight="false" outlineLevel="0" collapsed="false">
      <c r="A11" s="8" t="s">
        <v>208</v>
      </c>
      <c r="B11" s="8" t="n">
        <f aca="false">COUNTIF('Risk register'!U2:U18,"Open")</f>
        <v>5</v>
      </c>
    </row>
    <row r="12" customFormat="false" ht="15" hidden="false" customHeight="false" outlineLevel="0" collapsed="false">
      <c r="A12" s="8" t="s">
        <v>209</v>
      </c>
      <c r="B12" s="8" t="n">
        <f aca="false">COUNTIF('Risk register'!U2:U18,"In progress")</f>
        <v>0</v>
      </c>
    </row>
    <row r="13" customFormat="false" ht="15" hidden="false" customHeight="false" outlineLevel="0" collapsed="false">
      <c r="A13" s="8" t="s">
        <v>210</v>
      </c>
      <c r="B13" s="8" t="n">
        <f aca="false">COUNTIF('Risk register'!U2:U18,"Accepted")</f>
        <v>7</v>
      </c>
    </row>
    <row r="14" customFormat="false" ht="15" hidden="false" customHeight="false" outlineLevel="0" collapsed="false">
      <c r="A14" s="8" t="s">
        <v>211</v>
      </c>
      <c r="B14" s="8" t="n">
        <f aca="false">COUNTIF('Risk register'!U2:U18,"Closed")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7" t="s">
        <v>212</v>
      </c>
      <c r="B1" s="9" t="s">
        <v>213</v>
      </c>
    </row>
    <row r="2" customFormat="false" ht="15" hidden="false" customHeight="false" outlineLevel="0" collapsed="false">
      <c r="A2" s="7" t="s">
        <v>214</v>
      </c>
      <c r="B2" s="9" t="s">
        <v>215</v>
      </c>
    </row>
    <row r="3" customFormat="false" ht="15" hidden="false" customHeight="false" outlineLevel="0" collapsed="false">
      <c r="A3" s="7" t="s">
        <v>216</v>
      </c>
      <c r="B3" s="9" t="s">
        <v>217</v>
      </c>
    </row>
    <row r="4" customFormat="false" ht="15" hidden="false" customHeight="false" outlineLevel="0" collapsed="false">
      <c r="A4" s="7" t="s">
        <v>218</v>
      </c>
      <c r="B4" s="9" t="s">
        <v>219</v>
      </c>
    </row>
    <row r="5" customFormat="false" ht="22.35" hidden="false" customHeight="false" outlineLevel="0" collapsed="false">
      <c r="A5" s="7" t="s">
        <v>220</v>
      </c>
      <c r="B5" s="9" t="s">
        <v>221</v>
      </c>
    </row>
    <row r="6" customFormat="false" ht="15" hidden="false" customHeight="false" outlineLevel="0" collapsed="false">
      <c r="A6" s="7" t="s">
        <v>16</v>
      </c>
      <c r="B6" s="9" t="s">
        <v>222</v>
      </c>
    </row>
    <row r="7" customFormat="false" ht="15" hidden="false" customHeight="false" outlineLevel="0" collapsed="false">
      <c r="A7" s="7" t="s">
        <v>223</v>
      </c>
      <c r="B7" s="9" t="s">
        <v>224</v>
      </c>
    </row>
    <row r="8" customFormat="false" ht="15" hidden="false" customHeight="false" outlineLevel="0" collapsed="false">
      <c r="A8" s="7" t="s">
        <v>225</v>
      </c>
      <c r="B8" s="9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2026-10-25T01:25:12Z</dcterms:created>
  <dc:creator>openpyxl</dc:creator>
  <dc:description/>
  <dc:language>en-US</dc:language>
  <cp:lastModifiedBy/>
  <dcterms:modified xsi:type="dcterms:W3CDTF">2026-10-25T01:25:12Z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